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NVIERTE14\Downloads\"/>
    </mc:Choice>
  </mc:AlternateContent>
  <xr:revisionPtr revIDLastSave="0" documentId="8_{47ABEB88-7B60-4518-9F08-E048773C31CD}" xr6:coauthVersionLast="47" xr6:coauthVersionMax="47" xr10:uidLastSave="{00000000-0000-0000-0000-000000000000}"/>
  <bookViews>
    <workbookView xWindow="38280" yWindow="-120" windowWidth="29040" windowHeight="15720" xr2:uid="{623DEAC0-80C2-4513-B654-98C644AD54DC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3" i="1" l="1"/>
  <c r="N153" i="1" s="1"/>
  <c r="K153" i="1"/>
  <c r="L153" i="1" s="1"/>
  <c r="I153" i="1"/>
  <c r="E153" i="1"/>
  <c r="C153" i="1"/>
  <c r="B153" i="1"/>
  <c r="N152" i="1"/>
  <c r="L152" i="1"/>
  <c r="J152" i="1"/>
  <c r="H152" i="1"/>
  <c r="F152" i="1"/>
  <c r="D152" i="1"/>
  <c r="N151" i="1"/>
  <c r="L151" i="1"/>
  <c r="J151" i="1"/>
  <c r="H151" i="1"/>
  <c r="F151" i="1"/>
  <c r="D151" i="1"/>
  <c r="N150" i="1"/>
  <c r="L150" i="1"/>
  <c r="J150" i="1"/>
  <c r="H150" i="1"/>
  <c r="F150" i="1"/>
  <c r="D150" i="1"/>
  <c r="N149" i="1"/>
  <c r="L149" i="1"/>
  <c r="J149" i="1"/>
  <c r="H149" i="1"/>
  <c r="F149" i="1"/>
  <c r="D149" i="1"/>
  <c r="N148" i="1"/>
  <c r="L148" i="1"/>
  <c r="J148" i="1"/>
  <c r="H148" i="1"/>
  <c r="F148" i="1"/>
  <c r="D148" i="1"/>
  <c r="N147" i="1"/>
  <c r="L147" i="1"/>
  <c r="J147" i="1"/>
  <c r="G147" i="1"/>
  <c r="F147" i="1"/>
  <c r="D147" i="1"/>
  <c r="N146" i="1"/>
  <c r="L146" i="1"/>
  <c r="J146" i="1"/>
  <c r="H146" i="1"/>
  <c r="F146" i="1"/>
  <c r="D146" i="1"/>
  <c r="N145" i="1"/>
  <c r="L145" i="1"/>
  <c r="J145" i="1"/>
  <c r="H145" i="1"/>
  <c r="F145" i="1"/>
  <c r="D145" i="1"/>
  <c r="N144" i="1"/>
  <c r="L144" i="1"/>
  <c r="J144" i="1"/>
  <c r="H144" i="1"/>
  <c r="F144" i="1"/>
  <c r="D144" i="1"/>
  <c r="N143" i="1"/>
  <c r="L143" i="1"/>
  <c r="J143" i="1"/>
  <c r="H143" i="1"/>
  <c r="F143" i="1"/>
  <c r="D143" i="1"/>
  <c r="N142" i="1"/>
  <c r="L142" i="1"/>
  <c r="J142" i="1"/>
  <c r="H142" i="1"/>
  <c r="F142" i="1"/>
  <c r="D142" i="1"/>
  <c r="D139" i="1"/>
  <c r="F139" i="1" s="1"/>
  <c r="C139" i="1"/>
  <c r="N133" i="1"/>
  <c r="L133" i="1"/>
  <c r="J133" i="1"/>
  <c r="F133" i="1"/>
  <c r="G133" i="1" s="1"/>
  <c r="D133" i="1"/>
  <c r="E133" i="1" s="1"/>
  <c r="C133" i="1"/>
  <c r="H132" i="1"/>
  <c r="H133" i="1" s="1"/>
  <c r="N127" i="1"/>
  <c r="L127" i="1"/>
  <c r="H127" i="1"/>
  <c r="F127" i="1"/>
  <c r="D127" i="1"/>
  <c r="E127" i="1" s="1"/>
  <c r="C127" i="1"/>
  <c r="J125" i="1"/>
  <c r="J127" i="1" s="1"/>
  <c r="E125" i="1"/>
  <c r="E124" i="1"/>
  <c r="E123" i="1"/>
  <c r="F121" i="1"/>
  <c r="N117" i="1"/>
  <c r="L117" i="1"/>
  <c r="J117" i="1"/>
  <c r="H117" i="1"/>
  <c r="F117" i="1"/>
  <c r="D117" i="1"/>
  <c r="E117" i="1" s="1"/>
  <c r="C117" i="1"/>
  <c r="E115" i="1"/>
  <c r="E114" i="1"/>
  <c r="F112" i="1"/>
  <c r="N108" i="1"/>
  <c r="L108" i="1"/>
  <c r="J108" i="1"/>
  <c r="H108" i="1"/>
  <c r="F108" i="1"/>
  <c r="C108" i="1"/>
  <c r="E106" i="1"/>
  <c r="D105" i="1"/>
  <c r="E104" i="1"/>
  <c r="E103" i="1"/>
  <c r="D101" i="1"/>
  <c r="C101" i="1"/>
  <c r="F91" i="1"/>
  <c r="C91" i="1"/>
  <c r="C87" i="1"/>
  <c r="E83" i="1"/>
  <c r="E81" i="1"/>
  <c r="E80" i="1"/>
  <c r="N79" i="1"/>
  <c r="N87" i="1" s="1"/>
  <c r="L79" i="1"/>
  <c r="L87" i="1" s="1"/>
  <c r="J79" i="1"/>
  <c r="J87" i="1" s="1"/>
  <c r="H79" i="1"/>
  <c r="H87" i="1" s="1"/>
  <c r="F79" i="1"/>
  <c r="F87" i="1" s="1"/>
  <c r="D79" i="1"/>
  <c r="F77" i="1"/>
  <c r="L73" i="1"/>
  <c r="J73" i="1"/>
  <c r="H73" i="1"/>
  <c r="F73" i="1"/>
  <c r="D73" i="1"/>
  <c r="C73" i="1"/>
  <c r="E72" i="1"/>
  <c r="E71" i="1"/>
  <c r="E69" i="1"/>
  <c r="E68" i="1"/>
  <c r="D66" i="1"/>
  <c r="F66" i="1" s="1"/>
  <c r="C66" i="1"/>
  <c r="N60" i="1"/>
  <c r="L60" i="1"/>
  <c r="J60" i="1"/>
  <c r="H60" i="1"/>
  <c r="F60" i="1"/>
  <c r="D60" i="1"/>
  <c r="C60" i="1"/>
  <c r="E57" i="1"/>
  <c r="E55" i="1"/>
  <c r="E53" i="1"/>
  <c r="E51" i="1"/>
  <c r="D49" i="1"/>
  <c r="F49" i="1" s="1"/>
  <c r="C49" i="1"/>
  <c r="N43" i="1"/>
  <c r="L43" i="1"/>
  <c r="J43" i="1"/>
  <c r="C43" i="1"/>
  <c r="G41" i="1"/>
  <c r="E41" i="1"/>
  <c r="G40" i="1"/>
  <c r="E40" i="1"/>
  <c r="G37" i="1"/>
  <c r="E37" i="1"/>
  <c r="H36" i="1"/>
  <c r="H43" i="1" s="1"/>
  <c r="F36" i="1"/>
  <c r="D36" i="1"/>
  <c r="G35" i="1"/>
  <c r="E35" i="1"/>
  <c r="G34" i="1"/>
  <c r="E34" i="1"/>
  <c r="D32" i="1"/>
  <c r="C32" i="1"/>
  <c r="N24" i="1"/>
  <c r="C24" i="1"/>
  <c r="J22" i="1"/>
  <c r="L20" i="1"/>
  <c r="L24" i="1" s="1"/>
  <c r="J20" i="1"/>
  <c r="J24" i="1" s="1"/>
  <c r="H20" i="1"/>
  <c r="H24" i="1" s="1"/>
  <c r="F20" i="1"/>
  <c r="D20" i="1"/>
  <c r="E19" i="1"/>
  <c r="E18" i="1"/>
  <c r="F16" i="1"/>
  <c r="C16" i="1"/>
  <c r="N10" i="1"/>
  <c r="O10" i="1" s="1"/>
  <c r="L10" i="1"/>
  <c r="M10" i="1" s="1"/>
  <c r="J10" i="1"/>
  <c r="K10" i="1" s="1"/>
  <c r="H10" i="1"/>
  <c r="I10" i="1" s="1"/>
  <c r="F10" i="1"/>
  <c r="G10" i="1" s="1"/>
  <c r="D10" i="1"/>
  <c r="E10" i="1" s="1"/>
  <c r="C10" i="1"/>
  <c r="O8" i="1"/>
  <c r="M8" i="1"/>
  <c r="K8" i="1"/>
  <c r="I8" i="1"/>
  <c r="G8" i="1"/>
  <c r="E8" i="1"/>
  <c r="O7" i="1"/>
  <c r="M7" i="1"/>
  <c r="K7" i="1"/>
  <c r="I7" i="1"/>
  <c r="G7" i="1"/>
  <c r="E7" i="1"/>
  <c r="O6" i="1"/>
  <c r="M6" i="1"/>
  <c r="K6" i="1"/>
  <c r="I6" i="1"/>
  <c r="G6" i="1"/>
  <c r="E6" i="1"/>
  <c r="O4" i="1"/>
  <c r="M4" i="1"/>
  <c r="K4" i="1"/>
  <c r="I4" i="1"/>
  <c r="G4" i="1"/>
  <c r="E4" i="1"/>
  <c r="O3" i="1"/>
  <c r="M3" i="1"/>
  <c r="K3" i="1"/>
  <c r="I3" i="1"/>
  <c r="G3" i="1"/>
  <c r="E3" i="1"/>
  <c r="O2" i="1"/>
  <c r="M2" i="1"/>
  <c r="K2" i="1"/>
  <c r="I2" i="1"/>
  <c r="G2" i="1"/>
  <c r="E2" i="1"/>
  <c r="B192" i="1" l="1"/>
  <c r="J153" i="1"/>
  <c r="B190" i="1"/>
  <c r="F153" i="1"/>
  <c r="B189" i="1"/>
  <c r="D153" i="1"/>
  <c r="H147" i="1"/>
  <c r="G153" i="1"/>
  <c r="D108" i="1"/>
  <c r="E108" i="1" s="1"/>
  <c r="E105" i="1"/>
  <c r="F101" i="1"/>
  <c r="J101" i="1"/>
  <c r="E101" i="1"/>
  <c r="L101" i="1"/>
  <c r="N101" i="1"/>
  <c r="E79" i="1"/>
  <c r="D87" i="1"/>
  <c r="L66" i="1"/>
  <c r="J66" i="1"/>
  <c r="N66" i="1"/>
  <c r="H66" i="1"/>
  <c r="G36" i="1"/>
  <c r="F43" i="1"/>
  <c r="G43" i="1" s="1"/>
  <c r="E36" i="1"/>
  <c r="D43" i="1"/>
  <c r="E43" i="1" s="1"/>
  <c r="J32" i="1"/>
  <c r="F32" i="1"/>
  <c r="H32" i="1"/>
  <c r="G20" i="1"/>
  <c r="F24" i="1"/>
  <c r="E20" i="1"/>
  <c r="D24" i="1"/>
  <c r="H153" i="1" l="1"/>
  <c r="B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tc={e79f2df4-dc4d-4164-8e73-a2148f170627}</author>
    <author>tc={859785fc-a074-4e4c-ba45-276b3be32fa5}</author>
  </authors>
  <commentList>
    <comment ref="F46" authorId="0" shapeId="0" xr:uid="{10EBE850-5F93-447C-AF4D-DB1FF8AE8794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Camion Comprado por $912. Acumulado proximo mes 588
</t>
        </r>
      </text>
    </comment>
    <comment ref="F90" authorId="1" shapeId="0" xr:uid="{76125139-A966-42F5-BE8A-D63D6187AC8A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pagaron 700 pesos de griego, se reinicia acumulado.
</t>
        </r>
      </text>
    </comment>
  </commentList>
</comments>
</file>

<file path=xl/sharedStrings.xml><?xml version="1.0" encoding="utf-8"?>
<sst xmlns="http://schemas.openxmlformats.org/spreadsheetml/2006/main" count="179" uniqueCount="112">
  <si>
    <t>Categoría</t>
  </si>
  <si>
    <t>Detalle</t>
  </si>
  <si>
    <t>Monto</t>
  </si>
  <si>
    <t>Enero</t>
  </si>
  <si>
    <t>%</t>
  </si>
  <si>
    <t>Febrero</t>
  </si>
  <si>
    <t>Marzo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</si>
  <si>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</si>
  <si>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</si>
  <si>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</si>
  <si>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</si>
  <si>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</si>
  <si>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</si>
  <si>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</si>
  <si>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Hogar
Yani</t>
  </si>
  <si>
    <t>Fresko</t>
  </si>
  <si>
    <t>Abarrotes</t>
  </si>
  <si>
    <t>Costco</t>
  </si>
  <si>
    <t>Mantenimiento Hogar</t>
  </si>
  <si>
    <t>Articulos Hogar (amazon)</t>
  </si>
  <si>
    <t>Ana Limpieza</t>
  </si>
  <si>
    <t>Uber Ana</t>
  </si>
  <si>
    <t>Baño Morusa</t>
  </si>
  <si>
    <t>Gasto Mensual</t>
  </si>
  <si>
    <t>Acumulados</t>
  </si>
  <si>
    <t>Mantenimiento</t>
  </si>
  <si>
    <t>Total Acumulados</t>
  </si>
  <si>
    <t>Servicios
Minishhh</t>
  </si>
  <si>
    <t>Celular Yani</t>
  </si>
  <si>
    <t>Celular Mariana</t>
  </si>
  <si>
    <t>Suscripcion mensual</t>
  </si>
  <si>
    <t>Luz</t>
  </si>
  <si>
    <t>Agua</t>
  </si>
  <si>
    <t>Gas</t>
  </si>
  <si>
    <t>Suscripción acumulado</t>
  </si>
  <si>
    <t>Transporte
C/U</t>
  </si>
  <si>
    <t>Gasolina Mariana</t>
  </si>
  <si>
    <t>Gasolina Yani</t>
  </si>
  <si>
    <t>Seguro Autos</t>
  </si>
  <si>
    <t>Lavado Autos</t>
  </si>
  <si>
    <t>Mantenimiento (servicios,etc)</t>
  </si>
  <si>
    <t>ETN Yiyi</t>
  </si>
  <si>
    <t>Estacionamientos</t>
  </si>
  <si>
    <t>Uber Familiares</t>
  </si>
  <si>
    <t>Refrendo</t>
  </si>
  <si>
    <t>Etn Yiyi</t>
  </si>
  <si>
    <t>Salud
Minish</t>
  </si>
  <si>
    <t>Farmacia</t>
  </si>
  <si>
    <t>Doctores</t>
  </si>
  <si>
    <t>Terapia</t>
  </si>
  <si>
    <t>Seguros</t>
  </si>
  <si>
    <t>Seguro Yiyi</t>
  </si>
  <si>
    <t>Estudios Médicos</t>
  </si>
  <si>
    <t>Pilates Mariana</t>
  </si>
  <si>
    <t>Psic + Psiq Rosy</t>
  </si>
  <si>
    <t>Todo para sus pies / masajes</t>
  </si>
  <si>
    <t>Estudios Medicos</t>
  </si>
  <si>
    <t>Compras Personales
C/U</t>
  </si>
  <si>
    <t>Uñas</t>
  </si>
  <si>
    <t>Corte de Pelo y Barba</t>
  </si>
  <si>
    <t>Pintada Pelo</t>
  </si>
  <si>
    <t>Ropa &amp; Accesorios Yani</t>
  </si>
  <si>
    <t>Ropa &amp; Accesorios Mariana</t>
  </si>
  <si>
    <t>Ocio
C/U</t>
  </si>
  <si>
    <t>Comida Fuera de Casa</t>
  </si>
  <si>
    <t>Cine</t>
  </si>
  <si>
    <t>Alcohol / Cerveza</t>
  </si>
  <si>
    <t xml:space="preserve">Cafe / Nieves / Te </t>
  </si>
  <si>
    <t>Museos</t>
  </si>
  <si>
    <t>Bares</t>
  </si>
  <si>
    <t>Griego</t>
  </si>
  <si>
    <t>Padel</t>
  </si>
  <si>
    <t>Bienes Inmuebles
Yani</t>
  </si>
  <si>
    <t>Mantenimiento Lárissa I1</t>
  </si>
  <si>
    <t>Predial Lárissa Lárissa 1</t>
  </si>
  <si>
    <t>Mantenimiento Bosqueda</t>
  </si>
  <si>
    <t>Predial Bosqueda</t>
  </si>
  <si>
    <t>Mantenimiento Larissa II</t>
  </si>
  <si>
    <t>Predial Lárissa II</t>
  </si>
  <si>
    <t>Ciencias
Yani</t>
  </si>
  <si>
    <t>Colegiatura</t>
  </si>
  <si>
    <t>Ludoteca</t>
  </si>
  <si>
    <t>Material Extra / Cuotas</t>
  </si>
  <si>
    <t>Taller Natacion</t>
  </si>
  <si>
    <t>Insrcipción / Utiles</t>
  </si>
  <si>
    <t>Inscripción/Utiles</t>
  </si>
  <si>
    <t>Cuidados
Minish</t>
  </si>
  <si>
    <t>Tefy Ordinario</t>
  </si>
  <si>
    <t>Tefy Extra / HN Consejo</t>
  </si>
  <si>
    <t>Corte de Pelo</t>
  </si>
  <si>
    <t>Actividades Fara</t>
  </si>
  <si>
    <t>Gimnasia</t>
  </si>
  <si>
    <t>Regalos Fiestas</t>
  </si>
  <si>
    <t>Extra Fara (brincolines, pinturas)</t>
  </si>
  <si>
    <t>Ropa y Articulos Fara</t>
  </si>
  <si>
    <t>Articulos Extra</t>
  </si>
  <si>
    <t>Ropa</t>
  </si>
  <si>
    <t>Zapatos</t>
  </si>
  <si>
    <t>Jugetes</t>
  </si>
  <si>
    <t>Juguetes</t>
  </si>
  <si>
    <t>Prespuestado</t>
  </si>
  <si>
    <t>Abril</t>
  </si>
  <si>
    <t>Hogar</t>
  </si>
  <si>
    <t>Servicios</t>
  </si>
  <si>
    <t>Transporte</t>
  </si>
  <si>
    <t>Salud</t>
  </si>
  <si>
    <t>Compras Personales</t>
  </si>
  <si>
    <t>Ocio</t>
  </si>
  <si>
    <t>Ciencias</t>
  </si>
  <si>
    <t>Cuidados</t>
  </si>
  <si>
    <t>Ropa y Art Fara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</si>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</sst>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FFFFFF"/>
      <name val="Montserrat"/>
    </font>
    <font>
      <sz val="10"/>
      <color rgb="FF000000"/>
      <name val="Montserrat"/>
    </font>
    <font>
      <sz val="10"/>
      <name val="Arial"/>
    </font>
    <font>
      <b/>
      <sz val="10"/>
      <color rgb="FFFF00FF"/>
      <name val="Montserrat"/>
    </font>
    <font>
      <b/>
      <sz val="10"/>
      <color rgb="FF0000FF"/>
      <name val="Montserrat"/>
    </font>
    <font>
      <b/>
      <sz val="10"/>
      <color rgb="FF1155CC"/>
      <name val="Montserrat"/>
    </font>
    <font>
      <b/>
      <sz val="10"/>
      <color rgb="FFFF0000"/>
      <name val="Montserrat"/>
    </font>
    <font>
      <sz val="10"/>
      <color rgb="FF000000"/>
      <name val="Calibri"/>
      <scheme val="minor"/>
    </font>
    <font>
      <sz val="11"/>
      <color rgb="FF000000"/>
      <name val="Montserrat"/>
    </font>
  </fonts>
  <fills count="22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rgb="FF674EA7"/>
        <bgColor rgb="FF674EA7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60000"/>
        <bgColor rgb="FF660000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left"/>
    </xf>
    <xf numFmtId="0" fontId="2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164" fontId="3" fillId="0" borderId="1" xfId="0" applyNumberFormat="1" applyFont="1" applyBorder="1"/>
    <xf numFmtId="10" fontId="5" fillId="0" borderId="1" xfId="0" applyNumberFormat="1" applyFont="1" applyBorder="1"/>
    <xf numFmtId="10" fontId="3" fillId="0" borderId="1" xfId="0" applyNumberFormat="1" applyFont="1" applyBorder="1"/>
    <xf numFmtId="0" fontId="3" fillId="0" borderId="1" xfId="0" applyFont="1" applyBorder="1"/>
    <xf numFmtId="0" fontId="6" fillId="0" borderId="3" xfId="0" applyFont="1" applyBorder="1"/>
    <xf numFmtId="164" fontId="7" fillId="3" borderId="1" xfId="0" applyNumberFormat="1" applyFont="1" applyFill="1" applyBorder="1" applyAlignment="1">
      <alignment horizontal="left"/>
    </xf>
    <xf numFmtId="164" fontId="8" fillId="0" borderId="1" xfId="0" applyNumberFormat="1" applyFont="1" applyBorder="1"/>
    <xf numFmtId="10" fontId="1" fillId="0" borderId="1" xfId="0" applyNumberFormat="1" applyFont="1" applyBorder="1"/>
    <xf numFmtId="164" fontId="9" fillId="3" borderId="1" xfId="0" applyNumberFormat="1" applyFont="1" applyFill="1" applyBorder="1" applyAlignment="1">
      <alignment horizontal="left"/>
    </xf>
    <xf numFmtId="164" fontId="5" fillId="0" borderId="1" xfId="0" applyNumberFormat="1" applyFont="1" applyBorder="1"/>
    <xf numFmtId="0" fontId="2" fillId="3" borderId="1" xfId="0" applyFont="1" applyFill="1" applyBorder="1"/>
    <xf numFmtId="164" fontId="1" fillId="3" borderId="1" xfId="0" applyNumberFormat="1" applyFont="1" applyFill="1" applyBorder="1" applyAlignment="1">
      <alignment horizontal="left"/>
    </xf>
    <xf numFmtId="164" fontId="1" fillId="0" borderId="1" xfId="0" applyNumberFormat="1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0" fontId="8" fillId="3" borderId="1" xfId="0" applyFont="1" applyFill="1" applyBorder="1"/>
    <xf numFmtId="0" fontId="6" fillId="0" borderId="4" xfId="0" applyFont="1" applyBorder="1"/>
    <xf numFmtId="164" fontId="5" fillId="4" borderId="1" xfId="0" applyNumberFormat="1" applyFont="1" applyFill="1" applyBorder="1"/>
    <xf numFmtId="0" fontId="4" fillId="2" borderId="1" xfId="0" applyFont="1" applyFill="1" applyBorder="1" applyAlignment="1">
      <alignment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left"/>
    </xf>
    <xf numFmtId="164" fontId="10" fillId="0" borderId="1" xfId="0" applyNumberFormat="1" applyFont="1" applyBorder="1"/>
    <xf numFmtId="0" fontId="4" fillId="4" borderId="0" xfId="0" applyFont="1" applyFill="1" applyAlignment="1">
      <alignment vertical="center"/>
    </xf>
    <xf numFmtId="0" fontId="3" fillId="4" borderId="0" xfId="0" applyFont="1" applyFill="1"/>
    <xf numFmtId="164" fontId="3" fillId="4" borderId="0" xfId="0" applyNumberFormat="1" applyFont="1" applyFill="1" applyAlignment="1">
      <alignment horizontal="left"/>
    </xf>
    <xf numFmtId="164" fontId="3" fillId="4" borderId="0" xfId="0" applyNumberFormat="1" applyFont="1" applyFill="1"/>
    <xf numFmtId="10" fontId="5" fillId="4" borderId="0" xfId="0" applyNumberFormat="1" applyFont="1" applyFill="1"/>
    <xf numFmtId="10" fontId="3" fillId="4" borderId="0" xfId="0" applyNumberFormat="1" applyFont="1" applyFill="1"/>
    <xf numFmtId="0" fontId="4" fillId="5" borderId="2" xfId="0" applyFont="1" applyFill="1" applyBorder="1" applyAlignment="1">
      <alignment vertic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left"/>
    </xf>
    <xf numFmtId="164" fontId="9" fillId="6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164" fontId="1" fillId="6" borderId="1" xfId="0" applyNumberFormat="1" applyFont="1" applyFill="1" applyBorder="1" applyAlignment="1">
      <alignment horizontal="left"/>
    </xf>
    <xf numFmtId="0" fontId="8" fillId="6" borderId="1" xfId="0" applyFont="1" applyFill="1" applyBorder="1"/>
    <xf numFmtId="164" fontId="2" fillId="6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3" fillId="8" borderId="1" xfId="0" applyFont="1" applyFill="1" applyBorder="1"/>
    <xf numFmtId="164" fontId="3" fillId="8" borderId="1" xfId="0" applyNumberFormat="1" applyFont="1" applyFill="1" applyBorder="1" applyAlignment="1">
      <alignment horizontal="left"/>
    </xf>
    <xf numFmtId="164" fontId="8" fillId="8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left"/>
    </xf>
    <xf numFmtId="0" fontId="8" fillId="8" borderId="1" xfId="0" applyFont="1" applyFill="1" applyBorder="1"/>
    <xf numFmtId="164" fontId="3" fillId="3" borderId="1" xfId="0" applyNumberFormat="1" applyFont="1" applyFill="1" applyBorder="1"/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left"/>
    </xf>
    <xf numFmtId="0" fontId="4" fillId="9" borderId="2" xfId="0" applyFont="1" applyFill="1" applyBorder="1" applyAlignment="1">
      <alignment horizontal="left" vertical="center"/>
    </xf>
    <xf numFmtId="0" fontId="3" fillId="10" borderId="1" xfId="0" applyFont="1" applyFill="1" applyBorder="1"/>
    <xf numFmtId="164" fontId="5" fillId="10" borderId="1" xfId="0" applyNumberFormat="1" applyFont="1" applyFill="1" applyBorder="1" applyAlignment="1">
      <alignment horizontal="left"/>
    </xf>
    <xf numFmtId="164" fontId="7" fillId="10" borderId="1" xfId="0" applyNumberFormat="1" applyFont="1" applyFill="1" applyBorder="1" applyAlignment="1">
      <alignment horizontal="left"/>
    </xf>
    <xf numFmtId="164" fontId="3" fillId="10" borderId="1" xfId="0" applyNumberFormat="1" applyFont="1" applyFill="1" applyBorder="1" applyAlignment="1">
      <alignment horizontal="left"/>
    </xf>
    <xf numFmtId="164" fontId="8" fillId="10" borderId="1" xfId="0" applyNumberFormat="1" applyFont="1" applyFill="1" applyBorder="1" applyAlignment="1">
      <alignment horizontal="left"/>
    </xf>
    <xf numFmtId="164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/>
    <xf numFmtId="0" fontId="8" fillId="10" borderId="1" xfId="0" applyFont="1" applyFill="1" applyBorder="1"/>
    <xf numFmtId="0" fontId="4" fillId="9" borderId="1" xfId="0" applyFont="1" applyFill="1" applyBorder="1" applyAlignment="1">
      <alignment horizontal="left" vertical="center"/>
    </xf>
    <xf numFmtId="164" fontId="1" fillId="10" borderId="1" xfId="0" applyNumberFormat="1" applyFont="1" applyFill="1" applyBorder="1" applyAlignment="1">
      <alignment horizontal="left"/>
    </xf>
    <xf numFmtId="0" fontId="4" fillId="4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3" fillId="12" borderId="1" xfId="0" applyFont="1" applyFill="1" applyBorder="1"/>
    <xf numFmtId="164" fontId="3" fillId="12" borderId="1" xfId="0" applyNumberFormat="1" applyFont="1" applyFill="1" applyBorder="1" applyAlignment="1">
      <alignment horizontal="left"/>
    </xf>
    <xf numFmtId="10" fontId="5" fillId="4" borderId="1" xfId="0" applyNumberFormat="1" applyFont="1" applyFill="1" applyBorder="1"/>
    <xf numFmtId="164" fontId="2" fillId="12" borderId="1" xfId="0" applyNumberFormat="1" applyFont="1" applyFill="1" applyBorder="1" applyAlignment="1">
      <alignment horizontal="left"/>
    </xf>
    <xf numFmtId="0" fontId="2" fillId="12" borderId="1" xfId="0" applyFont="1" applyFill="1" applyBorder="1"/>
    <xf numFmtId="0" fontId="8" fillId="12" borderId="1" xfId="0" applyFont="1" applyFill="1" applyBorder="1"/>
    <xf numFmtId="0" fontId="4" fillId="11" borderId="1" xfId="0" applyFont="1" applyFill="1" applyBorder="1" applyAlignment="1">
      <alignment horizontal="left" vertical="center" wrapText="1"/>
    </xf>
    <xf numFmtId="164" fontId="2" fillId="4" borderId="0" xfId="0" applyNumberFormat="1" applyFont="1" applyFill="1"/>
    <xf numFmtId="0" fontId="4" fillId="13" borderId="2" xfId="0" applyFont="1" applyFill="1" applyBorder="1" applyAlignment="1">
      <alignment vertical="center"/>
    </xf>
    <xf numFmtId="0" fontId="3" fillId="14" borderId="1" xfId="0" applyFont="1" applyFill="1" applyBorder="1"/>
    <xf numFmtId="164" fontId="3" fillId="14" borderId="1" xfId="0" applyNumberFormat="1" applyFont="1" applyFill="1" applyBorder="1" applyAlignment="1">
      <alignment horizontal="left"/>
    </xf>
    <xf numFmtId="164" fontId="5" fillId="14" borderId="1" xfId="0" applyNumberFormat="1" applyFont="1" applyFill="1" applyBorder="1" applyAlignment="1">
      <alignment horizontal="left"/>
    </xf>
    <xf numFmtId="164" fontId="2" fillId="14" borderId="1" xfId="0" applyNumberFormat="1" applyFont="1" applyFill="1" applyBorder="1" applyAlignment="1">
      <alignment horizontal="left"/>
    </xf>
    <xf numFmtId="0" fontId="2" fillId="14" borderId="1" xfId="0" applyFont="1" applyFill="1" applyBorder="1"/>
    <xf numFmtId="0" fontId="8" fillId="14" borderId="1" xfId="0" applyFont="1" applyFill="1" applyBorder="1"/>
    <xf numFmtId="0" fontId="4" fillId="13" borderId="1" xfId="0" applyFont="1" applyFill="1" applyBorder="1" applyAlignment="1">
      <alignment vertic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left"/>
    </xf>
    <xf numFmtId="0" fontId="4" fillId="15" borderId="0" xfId="0" applyFont="1" applyFill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164" fontId="8" fillId="0" borderId="0" xfId="0" applyNumberFormat="1" applyFont="1"/>
    <xf numFmtId="10" fontId="1" fillId="0" borderId="0" xfId="0" applyNumberFormat="1" applyFont="1"/>
    <xf numFmtId="164" fontId="3" fillId="0" borderId="0" xfId="0" applyNumberFormat="1" applyFont="1"/>
    <xf numFmtId="0" fontId="4" fillId="15" borderId="2" xfId="0" applyFont="1" applyFill="1" applyBorder="1" applyAlignment="1">
      <alignment horizontal="left" vertical="center" wrapText="1"/>
    </xf>
    <xf numFmtId="164" fontId="5" fillId="16" borderId="1" xfId="0" applyNumberFormat="1" applyFont="1" applyFill="1" applyBorder="1" applyAlignment="1">
      <alignment horizontal="left" vertical="center"/>
    </xf>
    <xf numFmtId="164" fontId="1" fillId="16" borderId="1" xfId="0" applyNumberFormat="1" applyFont="1" applyFill="1" applyBorder="1" applyAlignment="1">
      <alignment horizontal="left" vertical="center"/>
    </xf>
    <xf numFmtId="0" fontId="11" fillId="0" borderId="0" xfId="0" applyFont="1"/>
    <xf numFmtId="0" fontId="4" fillId="15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0" fontId="4" fillId="17" borderId="2" xfId="0" applyFont="1" applyFill="1" applyBorder="1" applyAlignment="1">
      <alignment vertical="center"/>
    </xf>
    <xf numFmtId="0" fontId="3" fillId="11" borderId="1" xfId="0" applyFont="1" applyFill="1" applyBorder="1"/>
    <xf numFmtId="164" fontId="3" fillId="11" borderId="1" xfId="0" applyNumberFormat="1" applyFont="1" applyFill="1" applyBorder="1" applyAlignment="1">
      <alignment horizontal="left"/>
    </xf>
    <xf numFmtId="164" fontId="1" fillId="11" borderId="1" xfId="0" applyNumberFormat="1" applyFont="1" applyFill="1" applyBorder="1" applyAlignment="1">
      <alignment horizontal="left"/>
    </xf>
    <xf numFmtId="0" fontId="2" fillId="11" borderId="1" xfId="0" applyFont="1" applyFill="1" applyBorder="1"/>
    <xf numFmtId="164" fontId="2" fillId="11" borderId="1" xfId="0" applyNumberFormat="1" applyFont="1" applyFill="1" applyBorder="1" applyAlignment="1">
      <alignment horizontal="left"/>
    </xf>
    <xf numFmtId="0" fontId="8" fillId="11" borderId="1" xfId="0" applyFont="1" applyFill="1" applyBorder="1"/>
    <xf numFmtId="164" fontId="5" fillId="11" borderId="1" xfId="0" applyNumberFormat="1" applyFont="1" applyFill="1" applyBorder="1" applyAlignment="1">
      <alignment horizontal="left"/>
    </xf>
    <xf numFmtId="0" fontId="4" fillId="17" borderId="1" xfId="0" applyFont="1" applyFill="1" applyBorder="1" applyAlignment="1">
      <alignment vertical="center"/>
    </xf>
    <xf numFmtId="0" fontId="4" fillId="18" borderId="2" xfId="0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left"/>
    </xf>
    <xf numFmtId="0" fontId="4" fillId="4" borderId="0" xfId="0" applyFont="1" applyFill="1" applyAlignment="1">
      <alignment wrapText="1"/>
    </xf>
    <xf numFmtId="0" fontId="4" fillId="19" borderId="2" xfId="0" applyFont="1" applyFill="1" applyBorder="1" applyAlignment="1">
      <alignment wrapText="1"/>
    </xf>
    <xf numFmtId="164" fontId="8" fillId="4" borderId="0" xfId="0" applyNumberFormat="1" applyFont="1" applyFill="1" applyAlignment="1">
      <alignment horizontal="left"/>
    </xf>
    <xf numFmtId="0" fontId="4" fillId="13" borderId="2" xfId="0" applyFont="1" applyFill="1" applyBorder="1" applyAlignment="1">
      <alignment wrapText="1"/>
    </xf>
    <xf numFmtId="0" fontId="3" fillId="20" borderId="1" xfId="0" applyFont="1" applyFill="1" applyBorder="1"/>
    <xf numFmtId="164" fontId="5" fillId="20" borderId="1" xfId="0" applyNumberFormat="1" applyFont="1" applyFill="1" applyBorder="1" applyAlignment="1">
      <alignment horizontal="left"/>
    </xf>
    <xf numFmtId="164" fontId="7" fillId="20" borderId="1" xfId="0" applyNumberFormat="1" applyFont="1" applyFill="1" applyBorder="1" applyAlignment="1">
      <alignment horizontal="left"/>
    </xf>
    <xf numFmtId="164" fontId="1" fillId="20" borderId="1" xfId="0" applyNumberFormat="1" applyFont="1" applyFill="1" applyBorder="1" applyAlignment="1">
      <alignment horizontal="left"/>
    </xf>
    <xf numFmtId="0" fontId="2" fillId="20" borderId="1" xfId="0" applyFont="1" applyFill="1" applyBorder="1"/>
    <xf numFmtId="164" fontId="2" fillId="20" borderId="1" xfId="0" applyNumberFormat="1" applyFont="1" applyFill="1" applyBorder="1" applyAlignment="1">
      <alignment horizontal="left"/>
    </xf>
    <xf numFmtId="0" fontId="8" fillId="20" borderId="1" xfId="0" applyFont="1" applyFill="1" applyBorder="1"/>
    <xf numFmtId="0" fontId="5" fillId="20" borderId="1" xfId="0" applyFont="1" applyFill="1" applyBorder="1"/>
    <xf numFmtId="0" fontId="4" fillId="13" borderId="1" xfId="0" applyFont="1" applyFill="1" applyBorder="1" applyAlignment="1">
      <alignment wrapText="1"/>
    </xf>
    <xf numFmtId="10" fontId="5" fillId="0" borderId="0" xfId="0" applyNumberFormat="1" applyFont="1"/>
    <xf numFmtId="0" fontId="4" fillId="21" borderId="1" xfId="0" applyFont="1" applyFill="1" applyBorder="1"/>
    <xf numFmtId="0" fontId="4" fillId="21" borderId="1" xfId="0" applyFont="1" applyFill="1" applyBorder="1" applyAlignment="1">
      <alignment horizontal="center"/>
    </xf>
    <xf numFmtId="164" fontId="4" fillId="21" borderId="1" xfId="0" applyNumberFormat="1" applyFont="1" applyFill="1" applyBorder="1"/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1" fillId="4" borderId="1" xfId="0" applyNumberFormat="1" applyFont="1" applyFill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Alignment="1">
      <alignment horizontal="right"/>
    </xf>
    <xf numFmtId="164" fontId="1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Enero y Febrero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'[1]2026 D'!$B$141</c:f>
              <c:strCache>
                <c:ptCount val="1"/>
                <c:pt idx="0">
                  <c:v>Prespuestado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D'!$B$142:$B$152</c:f>
              <c:numCache>
                <c:formatCode>"$"#,##0.00</c:formatCode>
                <c:ptCount val="11"/>
                <c:pt idx="0">
                  <c:v>34066</c:v>
                </c:pt>
                <c:pt idx="1">
                  <c:v>3503</c:v>
                </c:pt>
                <c:pt idx="2">
                  <c:v>8750</c:v>
                </c:pt>
                <c:pt idx="3">
                  <c:v>9969</c:v>
                </c:pt>
                <c:pt idx="4">
                  <c:v>3900</c:v>
                </c:pt>
                <c:pt idx="5">
                  <c:v>14400</c:v>
                </c:pt>
                <c:pt idx="6">
                  <c:v>9100</c:v>
                </c:pt>
                <c:pt idx="7">
                  <c:v>10800</c:v>
                </c:pt>
                <c:pt idx="8">
                  <c:v>2140</c:v>
                </c:pt>
                <c:pt idx="9">
                  <c:v>750</c:v>
                </c:pt>
                <c:pt idx="10">
                  <c:v>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69-4508-9590-D6AD4BD1B343}"/>
            </c:ext>
          </c:extLst>
        </c:ser>
        <c:ser>
          <c:idx val="1"/>
          <c:order val="1"/>
          <c:tx>
            <c:strRef>
              <c:f>'[1]2026 D'!$C$141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D'!$C$142:$C$152</c:f>
              <c:numCache>
                <c:formatCode>"$"#,##0.00</c:formatCode>
                <c:ptCount val="11"/>
                <c:pt idx="0">
                  <c:v>25235</c:v>
                </c:pt>
                <c:pt idx="1">
                  <c:v>3035</c:v>
                </c:pt>
                <c:pt idx="2">
                  <c:v>9045</c:v>
                </c:pt>
                <c:pt idx="3">
                  <c:v>11259</c:v>
                </c:pt>
                <c:pt idx="4">
                  <c:v>2373</c:v>
                </c:pt>
                <c:pt idx="5">
                  <c:v>14897</c:v>
                </c:pt>
                <c:pt idx="6">
                  <c:v>11320</c:v>
                </c:pt>
                <c:pt idx="7">
                  <c:v>12360</c:v>
                </c:pt>
                <c:pt idx="8">
                  <c:v>1790</c:v>
                </c:pt>
                <c:pt idx="9">
                  <c:v>547</c:v>
                </c:pt>
                <c:pt idx="10">
                  <c:v>2124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69-4508-9590-D6AD4BD1B343}"/>
            </c:ext>
          </c:extLst>
        </c:ser>
        <c:ser>
          <c:idx val="2"/>
          <c:order val="2"/>
          <c:tx>
            <c:strRef>
              <c:f>'[1]2026 D'!$E$141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D'!$E$142:$E$152</c:f>
              <c:numCache>
                <c:formatCode>"$"#,##0.00</c:formatCode>
                <c:ptCount val="11"/>
                <c:pt idx="0">
                  <c:v>32568</c:v>
                </c:pt>
                <c:pt idx="1">
                  <c:v>5421</c:v>
                </c:pt>
                <c:pt idx="2">
                  <c:v>8899</c:v>
                </c:pt>
                <c:pt idx="3">
                  <c:v>19280</c:v>
                </c:pt>
                <c:pt idx="4">
                  <c:v>1648</c:v>
                </c:pt>
                <c:pt idx="5">
                  <c:v>10269</c:v>
                </c:pt>
                <c:pt idx="6">
                  <c:v>7520</c:v>
                </c:pt>
                <c:pt idx="7">
                  <c:v>9160</c:v>
                </c:pt>
                <c:pt idx="8">
                  <c:v>3520</c:v>
                </c:pt>
                <c:pt idx="9">
                  <c:v>6368</c:v>
                </c:pt>
                <c:pt idx="10">
                  <c:v>1576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369-4508-9590-D6AD4BD1B343}"/>
            </c:ext>
          </c:extLst>
        </c:ser>
        <c:ser>
          <c:idx val="3"/>
          <c:order val="3"/>
          <c:tx>
            <c:strRef>
              <c:f>'[1]2026 D'!$G$141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D'!$G$142:$G$152</c:f>
              <c:numCache>
                <c:formatCode>"$"#,##0.00</c:formatCode>
                <c:ptCount val="11"/>
                <c:pt idx="0">
                  <c:v>33369</c:v>
                </c:pt>
                <c:pt idx="1">
                  <c:v>6600</c:v>
                </c:pt>
                <c:pt idx="2">
                  <c:v>6014</c:v>
                </c:pt>
                <c:pt idx="3">
                  <c:v>21970</c:v>
                </c:pt>
                <c:pt idx="4">
                  <c:v>9843</c:v>
                </c:pt>
                <c:pt idx="5">
                  <c:v>13217</c:v>
                </c:pt>
                <c:pt idx="6">
                  <c:v>7757</c:v>
                </c:pt>
                <c:pt idx="7">
                  <c:v>10106</c:v>
                </c:pt>
                <c:pt idx="8">
                  <c:v>1840</c:v>
                </c:pt>
                <c:pt idx="9">
                  <c:v>5329</c:v>
                </c:pt>
                <c:pt idx="10">
                  <c:v>2317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369-4508-9590-D6AD4BD1B343}"/>
            </c:ext>
          </c:extLst>
        </c:ser>
        <c:ser>
          <c:idx val="4"/>
          <c:order val="4"/>
          <c:tx>
            <c:strRef>
              <c:f>'[1]2026 D'!$I$141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rgbClr val="FF6D01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D'!$I$142:$I$152</c:f>
              <c:numCache>
                <c:formatCode>"$"#,##0.00</c:formatCode>
                <c:ptCount val="11"/>
                <c:pt idx="0">
                  <c:v>45316</c:v>
                </c:pt>
                <c:pt idx="1">
                  <c:v>4718</c:v>
                </c:pt>
                <c:pt idx="2">
                  <c:v>9051</c:v>
                </c:pt>
                <c:pt idx="3">
                  <c:v>10082</c:v>
                </c:pt>
                <c:pt idx="4">
                  <c:v>5832</c:v>
                </c:pt>
                <c:pt idx="5">
                  <c:v>15222</c:v>
                </c:pt>
                <c:pt idx="6">
                  <c:v>9325</c:v>
                </c:pt>
                <c:pt idx="7">
                  <c:v>8546</c:v>
                </c:pt>
                <c:pt idx="8">
                  <c:v>4606</c:v>
                </c:pt>
                <c:pt idx="9">
                  <c:v>449</c:v>
                </c:pt>
                <c:pt idx="10">
                  <c:v>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369-4508-9590-D6AD4BD1B343}"/>
            </c:ext>
          </c:extLst>
        </c:ser>
        <c:ser>
          <c:idx val="5"/>
          <c:order val="5"/>
          <c:tx>
            <c:strRef>
              <c:f>'[1]2026 D'!$K$141</c:f>
              <c:strCache>
                <c:ptCount val="1"/>
                <c:pt idx="0">
                  <c:v>Mayo</c:v>
                </c:pt>
              </c:strCache>
            </c:strRef>
          </c:tx>
          <c:spPr>
            <a:solidFill>
              <a:srgbClr val="46BDC6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D'!$K$142:$K$152</c:f>
              <c:numCache>
                <c:formatCode>"$"#,##0.00</c:formatCode>
                <c:ptCount val="11"/>
                <c:pt idx="0">
                  <c:v>35195</c:v>
                </c:pt>
                <c:pt idx="1">
                  <c:v>4250</c:v>
                </c:pt>
                <c:pt idx="2">
                  <c:v>8319</c:v>
                </c:pt>
                <c:pt idx="3">
                  <c:v>22431</c:v>
                </c:pt>
                <c:pt idx="4">
                  <c:v>4965</c:v>
                </c:pt>
                <c:pt idx="5">
                  <c:v>15730</c:v>
                </c:pt>
                <c:pt idx="6">
                  <c:v>9321</c:v>
                </c:pt>
                <c:pt idx="7">
                  <c:v>9155</c:v>
                </c:pt>
                <c:pt idx="8">
                  <c:v>2980</c:v>
                </c:pt>
                <c:pt idx="9">
                  <c:v>3084</c:v>
                </c:pt>
                <c:pt idx="10">
                  <c:v>370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369-4508-9590-D6AD4BD1B343}"/>
            </c:ext>
          </c:extLst>
        </c:ser>
        <c:ser>
          <c:idx val="6"/>
          <c:order val="6"/>
          <c:tx>
            <c:strRef>
              <c:f>'[1]2026 D'!$M$141</c:f>
              <c:strCache>
                <c:ptCount val="1"/>
                <c:pt idx="0">
                  <c:v>Junio</c:v>
                </c:pt>
              </c:strCache>
            </c:strRef>
          </c:tx>
          <c:spPr>
            <a:solidFill>
              <a:srgbClr val="D3E2FC"/>
            </a:solidFill>
            <a:ln cmpd="sng">
              <a:noFill/>
            </a:ln>
          </c:spPr>
          <c:invertIfNegative val="1"/>
          <c:cat>
            <c:strRef>
              <c:f>'[1]2026 D'!$A$142:$A$152</c:f>
              <c:strCache>
                <c:ptCount val="11"/>
                <c:pt idx="0">
                  <c:v>Hogar</c:v>
                </c:pt>
                <c:pt idx="1">
                  <c:v>Servicios</c:v>
                </c:pt>
                <c:pt idx="2">
                  <c:v>Transporte</c:v>
                </c:pt>
                <c:pt idx="3">
                  <c:v>Salud</c:v>
                </c:pt>
                <c:pt idx="4">
                  <c:v>Compras Personales</c:v>
                </c:pt>
                <c:pt idx="5">
                  <c:v>Ocio</c:v>
                </c:pt>
                <c:pt idx="6">
                  <c:v>Ciencias</c:v>
                </c:pt>
                <c:pt idx="7">
                  <c:v>Cuidados</c:v>
                </c:pt>
                <c:pt idx="8">
                  <c:v>Actividades Fara</c:v>
                </c:pt>
                <c:pt idx="9">
                  <c:v>Ropa y Art Fara</c:v>
                </c:pt>
                <c:pt idx="10">
                  <c:v>Extras</c:v>
                </c:pt>
              </c:strCache>
            </c:strRef>
          </c:cat>
          <c:val>
            <c:numRef>
              <c:f>'[1]2026 D'!$M$142:$M$152</c:f>
              <c:numCache>
                <c:formatCode>"$"#,##0.00</c:formatCode>
                <c:ptCount val="11"/>
                <c:pt idx="0">
                  <c:v>37376</c:v>
                </c:pt>
                <c:pt idx="1">
                  <c:v>3968</c:v>
                </c:pt>
                <c:pt idx="2">
                  <c:v>12231</c:v>
                </c:pt>
                <c:pt idx="3">
                  <c:v>7134</c:v>
                </c:pt>
                <c:pt idx="4">
                  <c:v>3806</c:v>
                </c:pt>
                <c:pt idx="5">
                  <c:v>15315</c:v>
                </c:pt>
                <c:pt idx="6">
                  <c:v>9040</c:v>
                </c:pt>
                <c:pt idx="7">
                  <c:v>10145</c:v>
                </c:pt>
                <c:pt idx="8">
                  <c:v>1890</c:v>
                </c:pt>
                <c:pt idx="9">
                  <c:v>1413</c:v>
                </c:pt>
                <c:pt idx="10">
                  <c:v>3600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369-4508-9590-D6AD4BD1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0536919"/>
        <c:axId val="289678007"/>
      </c:barChart>
      <c:catAx>
        <c:axId val="1220536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89678007"/>
        <c:crosses val="autoZero"/>
        <c:auto val="1"/>
        <c:lblAlgn val="ctr"/>
        <c:lblOffset val="100"/>
        <c:noMultiLvlLbl val="1"/>
      </c:catAx>
      <c:valAx>
        <c:axId val="289678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2205369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'[1]2026 D'!$A$189:$A$194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'[1]2026 D'!$B$189:$B$194</c:f>
              <c:numCache>
                <c:formatCode>"$"#,##0.00</c:formatCode>
                <c:ptCount val="6"/>
                <c:pt idx="0">
                  <c:v>93985</c:v>
                </c:pt>
                <c:pt idx="1">
                  <c:v>106229</c:v>
                </c:pt>
                <c:pt idx="2">
                  <c:v>118362</c:v>
                </c:pt>
                <c:pt idx="3">
                  <c:v>113897</c:v>
                </c:pt>
                <c:pt idx="4">
                  <c:v>116014</c:v>
                </c:pt>
                <c:pt idx="5">
                  <c:v>105918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B4-4E2D-AF52-A1AD2E39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92254"/>
        <c:axId val="1312334756"/>
      </c:barChart>
      <c:catAx>
        <c:axId val="440292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12334756"/>
        <c:crosses val="autoZero"/>
        <c:auto val="1"/>
        <c:lblAlgn val="ctr"/>
        <c:lblOffset val="100"/>
        <c:noMultiLvlLbl val="1"/>
      </c:catAx>
      <c:valAx>
        <c:axId val="1312334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4402922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155</xdr:row>
      <xdr:rowOff>9525</xdr:rowOff>
    </xdr:from>
    <xdr:ext cx="11029950" cy="68389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2F162FA4-C231-4338-A247-AD08F633D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219075</xdr:colOff>
      <xdr:row>155</xdr:row>
      <xdr:rowOff>142875</xdr:rowOff>
    </xdr:from>
    <xdr:ext cx="10410825" cy="644842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D54CA566-91C5-463C-89E7-A832387B7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INVIERTE14\Downloads\Gastos%20Ordinarios%20Morus%20Place%20(2).xlsx" TargetMode="External"/><Relationship Id="rId1" Type="http://schemas.openxmlformats.org/officeDocument/2006/relationships/externalLinkPath" Target="Gastos%20Ordinarios%20Morus%20Plac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 2025"/>
      <sheetName val="Mayo 2025"/>
      <sheetName val="Julio 2025"/>
      <sheetName val="Agosto 2025"/>
      <sheetName val="Sept 2025"/>
      <sheetName val="Oct 2025"/>
      <sheetName val="Nov 2025"/>
      <sheetName val="Acumulado"/>
      <sheetName val="Global 2025"/>
      <sheetName val="2026 B"/>
      <sheetName val="2026 D"/>
      <sheetName val="2026 - Viajes  Vacaciones Otros"/>
      <sheetName val="Aguinaldos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1">
          <cell r="B141" t="str">
            <v>Prespuestado</v>
          </cell>
          <cell r="C141" t="str">
            <v>Enero</v>
          </cell>
          <cell r="E141" t="str">
            <v>Febrero</v>
          </cell>
          <cell r="G141" t="str">
            <v>Marzo</v>
          </cell>
          <cell r="I141" t="str">
            <v>Abril</v>
          </cell>
          <cell r="K141" t="str">
            <v>Mayo</v>
          </cell>
          <cell r="M141" t="str">
            <v>Junio</v>
          </cell>
        </row>
        <row r="142">
          <cell r="A142" t="str">
            <v>Hogar</v>
          </cell>
          <cell r="B142">
            <v>34066</v>
          </cell>
          <cell r="C142">
            <v>25235</v>
          </cell>
          <cell r="E142">
            <v>32568</v>
          </cell>
          <cell r="G142">
            <v>33369</v>
          </cell>
          <cell r="I142">
            <v>45316</v>
          </cell>
          <cell r="K142">
            <v>35195</v>
          </cell>
          <cell r="M142">
            <v>37376</v>
          </cell>
        </row>
        <row r="143">
          <cell r="A143" t="str">
            <v>Servicios</v>
          </cell>
          <cell r="B143">
            <v>3503</v>
          </cell>
          <cell r="C143">
            <v>3035</v>
          </cell>
          <cell r="E143">
            <v>5421</v>
          </cell>
          <cell r="G143">
            <v>6600</v>
          </cell>
          <cell r="I143">
            <v>4718</v>
          </cell>
          <cell r="K143">
            <v>4250</v>
          </cell>
          <cell r="M143">
            <v>3968</v>
          </cell>
        </row>
        <row r="144">
          <cell r="A144" t="str">
            <v>Transporte</v>
          </cell>
          <cell r="B144">
            <v>8750</v>
          </cell>
          <cell r="C144">
            <v>9045</v>
          </cell>
          <cell r="E144">
            <v>8899</v>
          </cell>
          <cell r="G144">
            <v>6014</v>
          </cell>
          <cell r="I144">
            <v>9051</v>
          </cell>
          <cell r="K144">
            <v>8319</v>
          </cell>
          <cell r="M144">
            <v>12231</v>
          </cell>
        </row>
        <row r="145">
          <cell r="A145" t="str">
            <v>Salud</v>
          </cell>
          <cell r="B145">
            <v>9969</v>
          </cell>
          <cell r="C145">
            <v>11259</v>
          </cell>
          <cell r="E145">
            <v>19280</v>
          </cell>
          <cell r="G145">
            <v>21970</v>
          </cell>
          <cell r="I145">
            <v>10082</v>
          </cell>
          <cell r="K145">
            <v>22431</v>
          </cell>
          <cell r="M145">
            <v>7134</v>
          </cell>
        </row>
        <row r="146">
          <cell r="A146" t="str">
            <v>Compras Personales</v>
          </cell>
          <cell r="B146">
            <v>3900</v>
          </cell>
          <cell r="C146">
            <v>2373</v>
          </cell>
          <cell r="E146">
            <v>1648</v>
          </cell>
          <cell r="G146">
            <v>9843</v>
          </cell>
          <cell r="I146">
            <v>5832</v>
          </cell>
          <cell r="K146">
            <v>4965</v>
          </cell>
          <cell r="M146">
            <v>3806</v>
          </cell>
        </row>
        <row r="147">
          <cell r="A147" t="str">
            <v>Ocio</v>
          </cell>
          <cell r="B147">
            <v>14400</v>
          </cell>
          <cell r="C147">
            <v>14897</v>
          </cell>
          <cell r="E147">
            <v>10269</v>
          </cell>
          <cell r="G147">
            <v>13217</v>
          </cell>
          <cell r="I147">
            <v>15222</v>
          </cell>
          <cell r="K147">
            <v>15730</v>
          </cell>
          <cell r="M147">
            <v>15315</v>
          </cell>
        </row>
        <row r="148">
          <cell r="A148" t="str">
            <v>Ciencias</v>
          </cell>
          <cell r="B148">
            <v>9100</v>
          </cell>
          <cell r="C148">
            <v>11320</v>
          </cell>
          <cell r="E148">
            <v>7520</v>
          </cell>
          <cell r="G148">
            <v>7757</v>
          </cell>
          <cell r="I148">
            <v>9325</v>
          </cell>
          <cell r="K148">
            <v>9321</v>
          </cell>
          <cell r="M148">
            <v>9040</v>
          </cell>
        </row>
        <row r="149">
          <cell r="A149" t="str">
            <v>Cuidados</v>
          </cell>
          <cell r="B149">
            <v>10800</v>
          </cell>
          <cell r="C149">
            <v>12360</v>
          </cell>
          <cell r="E149">
            <v>9160</v>
          </cell>
          <cell r="G149">
            <v>10106</v>
          </cell>
          <cell r="I149">
            <v>8546</v>
          </cell>
          <cell r="K149">
            <v>9155</v>
          </cell>
          <cell r="M149">
            <v>10145</v>
          </cell>
        </row>
        <row r="150">
          <cell r="A150" t="str">
            <v>Actividades Fara</v>
          </cell>
          <cell r="B150">
            <v>2140</v>
          </cell>
          <cell r="C150">
            <v>1790</v>
          </cell>
          <cell r="E150">
            <v>3520</v>
          </cell>
          <cell r="G150">
            <v>1840</v>
          </cell>
          <cell r="I150">
            <v>4606</v>
          </cell>
          <cell r="K150">
            <v>2980</v>
          </cell>
          <cell r="M150">
            <v>1890</v>
          </cell>
        </row>
        <row r="151">
          <cell r="A151" t="str">
            <v>Ropa y Art Fara</v>
          </cell>
          <cell r="B151">
            <v>750</v>
          </cell>
          <cell r="C151">
            <v>547</v>
          </cell>
          <cell r="E151">
            <v>6368</v>
          </cell>
          <cell r="G151">
            <v>5329</v>
          </cell>
          <cell r="I151">
            <v>449</v>
          </cell>
          <cell r="K151">
            <v>3084</v>
          </cell>
          <cell r="M151">
            <v>1413</v>
          </cell>
        </row>
        <row r="152">
          <cell r="A152" t="str">
            <v>Extras</v>
          </cell>
          <cell r="B152">
            <v>3000</v>
          </cell>
          <cell r="C152">
            <v>2124</v>
          </cell>
          <cell r="E152">
            <v>1576</v>
          </cell>
          <cell r="G152">
            <v>2317</v>
          </cell>
          <cell r="I152">
            <v>750</v>
          </cell>
          <cell r="K152">
            <v>370</v>
          </cell>
          <cell r="M152">
            <v>3600</v>
          </cell>
        </row>
        <row r="189">
          <cell r="A189" t="str">
            <v>Enero</v>
          </cell>
          <cell r="B189">
            <v>93985</v>
          </cell>
        </row>
        <row r="190">
          <cell r="A190" t="str">
            <v>Febrero</v>
          </cell>
          <cell r="B190">
            <v>106229</v>
          </cell>
        </row>
        <row r="191">
          <cell r="A191" t="str">
            <v>Marzo</v>
          </cell>
          <cell r="B191">
            <v>118362</v>
          </cell>
        </row>
        <row r="192">
          <cell r="A192" t="str">
            <v>Abril</v>
          </cell>
          <cell r="B192">
            <v>113897</v>
          </cell>
        </row>
        <row r="193">
          <cell r="A193" t="str">
            <v>Mayo</v>
          </cell>
          <cell r="B193">
            <v>116014</v>
          </cell>
        </row>
        <row r="194">
          <cell r="A194" t="str">
            <v>Junio</v>
          </cell>
          <cell r="B194">
            <v>105918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D835-A639-4C2C-B6EE-09914174E43F}">
  <dimension ref="A1:Z1073"/>
  <sheetViews>
    <sheetView tabSelected="1" topLeftCell="A145" workbookViewId="0">
      <selection sqref="A1:XFD1048576"/>
    </sheetView>
  </sheetViews>
  <sheetFormatPr baseColWidth="10" defaultColWidth="12.59765625" defaultRowHeight="15.75" customHeight="1" x14ac:dyDescent="0.45"/>
  <cols>
    <col min="1" max="1" width="18.1328125" customWidth="1"/>
    <col min="2" max="2" width="28.46484375" customWidth="1"/>
    <col min="3" max="3" width="14.73046875" customWidth="1"/>
    <col min="4" max="4" width="17.59765625" customWidth="1"/>
    <col min="6" max="6" width="16.86328125" customWidth="1"/>
  </cols>
  <sheetData>
    <row r="1" spans="1:26" ht="15.4" x14ac:dyDescent="0.5500000000000000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4</v>
      </c>
      <c r="H1" s="4" t="s">
        <v>6</v>
      </c>
      <c r="I1" s="4" t="s">
        <v>4</v>
      </c>
      <c r="J1" s="4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  <c r="S1" s="4" t="s">
        <v>4</v>
      </c>
      <c r="T1" s="4" t="s">
        <v>12</v>
      </c>
      <c r="U1" s="4" t="s">
        <v>4</v>
      </c>
      <c r="V1" s="4" t="s">
        <v>13</v>
      </c>
      <c r="W1" s="4" t="s">
        <v>4</v>
      </c>
      <c r="X1" s="6"/>
      <c r="Y1" s="6"/>
      <c r="Z1" s="6"/>
    </row>
    <row r="2" spans="1:26" ht="15.4" x14ac:dyDescent="0.55000000000000004">
      <c r="A2" s="7" t="s">
        <v>14</v>
      </c>
      <c r="B2" s="8" t="s">
        <v>15</v>
      </c>
      <c r="C2" s="9">
        <v>9533</v>
      </c>
      <c r="D2" s="10">
        <v>5030</v>
      </c>
      <c r="E2" s="11">
        <f t="shared" ref="E2:E4" si="0">D2/C2</f>
        <v>0.52764082660232881</v>
      </c>
      <c r="F2" s="10">
        <v>9378</v>
      </c>
      <c r="G2" s="11">
        <f t="shared" ref="G2:G4" si="1">F2/C2</f>
        <v>0.9837406902339243</v>
      </c>
      <c r="H2" s="10">
        <v>6473</v>
      </c>
      <c r="I2" s="11">
        <f t="shared" ref="I2:I4" si="2">H2/C2</f>
        <v>0.67900975558585963</v>
      </c>
      <c r="J2" s="10">
        <v>8053</v>
      </c>
      <c r="K2" s="12">
        <f t="shared" ref="K2:K4" si="3">J2/C2</f>
        <v>0.84474981642714775</v>
      </c>
      <c r="L2" s="10">
        <v>6072</v>
      </c>
      <c r="M2" s="12">
        <f t="shared" ref="M2:M4" si="4">L2/C2</f>
        <v>0.63694534773943146</v>
      </c>
      <c r="N2" s="10">
        <v>10748</v>
      </c>
      <c r="O2" s="12">
        <f t="shared" ref="O2:O4" si="5">N2/C2</f>
        <v>1.127452008811497</v>
      </c>
      <c r="P2" s="10"/>
      <c r="Q2" s="10"/>
      <c r="R2" s="10"/>
      <c r="S2" s="10"/>
      <c r="T2" s="10"/>
      <c r="U2" s="13"/>
      <c r="V2" s="13"/>
      <c r="W2" s="13"/>
      <c r="X2" s="13"/>
      <c r="Y2" s="13"/>
      <c r="Z2" s="13"/>
    </row>
    <row r="3" spans="1:26" ht="15.4" x14ac:dyDescent="0.55000000000000004">
      <c r="A3" s="14"/>
      <c r="B3" s="8" t="s">
        <v>16</v>
      </c>
      <c r="C3" s="9">
        <v>3200</v>
      </c>
      <c r="D3" s="10">
        <v>4690</v>
      </c>
      <c r="E3" s="11">
        <f t="shared" si="0"/>
        <v>1.465625</v>
      </c>
      <c r="F3" s="10">
        <v>4863</v>
      </c>
      <c r="G3" s="11">
        <f t="shared" si="1"/>
        <v>1.5196875000000001</v>
      </c>
      <c r="H3" s="10">
        <v>3625</v>
      </c>
      <c r="I3" s="11">
        <f t="shared" si="2"/>
        <v>1.1328125</v>
      </c>
      <c r="J3" s="10">
        <v>3111</v>
      </c>
      <c r="K3" s="12">
        <f t="shared" si="3"/>
        <v>0.97218749999999998</v>
      </c>
      <c r="L3" s="10">
        <v>4425</v>
      </c>
      <c r="M3" s="12">
        <f t="shared" si="4"/>
        <v>1.3828125</v>
      </c>
      <c r="N3" s="10">
        <v>5112</v>
      </c>
      <c r="O3" s="12">
        <f t="shared" si="5"/>
        <v>1.5974999999999999</v>
      </c>
      <c r="P3" s="10"/>
      <c r="Q3" s="10"/>
      <c r="R3" s="10"/>
      <c r="S3" s="10"/>
      <c r="T3" s="10"/>
      <c r="U3" s="13"/>
      <c r="V3" s="13"/>
      <c r="W3" s="13"/>
      <c r="X3" s="13"/>
      <c r="Y3" s="13"/>
      <c r="Z3" s="13"/>
    </row>
    <row r="4" spans="1:26" ht="15.4" x14ac:dyDescent="0.55000000000000004">
      <c r="A4" s="14"/>
      <c r="B4" s="8" t="s">
        <v>17</v>
      </c>
      <c r="C4" s="9">
        <v>7400</v>
      </c>
      <c r="D4" s="10">
        <v>6729</v>
      </c>
      <c r="E4" s="11">
        <f t="shared" si="0"/>
        <v>0.90932432432432431</v>
      </c>
      <c r="F4" s="10">
        <v>6622</v>
      </c>
      <c r="G4" s="11">
        <f t="shared" si="1"/>
        <v>0.89486486486486483</v>
      </c>
      <c r="H4" s="10">
        <v>8003</v>
      </c>
      <c r="I4" s="11">
        <f t="shared" si="2"/>
        <v>1.0814864864864864</v>
      </c>
      <c r="J4" s="10">
        <v>12865</v>
      </c>
      <c r="K4" s="12">
        <f t="shared" si="3"/>
        <v>1.7385135135135135</v>
      </c>
      <c r="L4" s="10">
        <v>9825</v>
      </c>
      <c r="M4" s="12">
        <f t="shared" si="4"/>
        <v>1.3277027027027026</v>
      </c>
      <c r="N4" s="10">
        <v>6281</v>
      </c>
      <c r="O4" s="12">
        <f t="shared" si="5"/>
        <v>0.84878378378378383</v>
      </c>
      <c r="P4" s="10"/>
      <c r="Q4" s="10"/>
      <c r="R4" s="10"/>
      <c r="S4" s="10"/>
      <c r="T4" s="10"/>
      <c r="U4" s="13"/>
      <c r="V4" s="13"/>
      <c r="W4" s="13"/>
      <c r="X4" s="13"/>
      <c r="Y4" s="13"/>
      <c r="Z4" s="13"/>
    </row>
    <row r="5" spans="1:26" ht="15.4" x14ac:dyDescent="0.55000000000000004">
      <c r="A5" s="14"/>
      <c r="B5" s="8" t="s">
        <v>18</v>
      </c>
      <c r="C5" s="15"/>
      <c r="D5" s="16">
        <v>200</v>
      </c>
      <c r="E5" s="17"/>
      <c r="F5" s="16">
        <v>100</v>
      </c>
      <c r="G5" s="17"/>
      <c r="H5" s="10">
        <v>5200</v>
      </c>
      <c r="I5" s="17"/>
      <c r="J5" s="10">
        <v>7311</v>
      </c>
      <c r="K5" s="12"/>
      <c r="L5" s="10">
        <v>1075</v>
      </c>
      <c r="M5" s="12"/>
      <c r="N5" s="10">
        <v>3200</v>
      </c>
      <c r="O5" s="12"/>
      <c r="P5" s="10"/>
      <c r="Q5" s="10"/>
      <c r="R5" s="10"/>
      <c r="S5" s="10"/>
      <c r="T5" s="10"/>
      <c r="U5" s="13"/>
      <c r="V5" s="13"/>
      <c r="W5" s="13"/>
      <c r="X5" s="13"/>
      <c r="Y5" s="13"/>
      <c r="Z5" s="13"/>
    </row>
    <row r="6" spans="1:26" ht="15.4" x14ac:dyDescent="0.55000000000000004">
      <c r="A6" s="14"/>
      <c r="B6" s="8" t="s">
        <v>19</v>
      </c>
      <c r="C6" s="9">
        <v>2000</v>
      </c>
      <c r="D6" s="10">
        <v>417</v>
      </c>
      <c r="E6" s="11">
        <f t="shared" ref="E6:E8" si="6">D6/C6</f>
        <v>0.20849999999999999</v>
      </c>
      <c r="F6" s="10">
        <v>2779</v>
      </c>
      <c r="G6" s="11">
        <f t="shared" ref="G6:G8" si="7">F6/C6</f>
        <v>1.3895</v>
      </c>
      <c r="H6" s="10">
        <v>389</v>
      </c>
      <c r="I6" s="11">
        <f t="shared" ref="I6:I8" si="8">H6/C6</f>
        <v>0.19450000000000001</v>
      </c>
      <c r="J6" s="10">
        <v>4519</v>
      </c>
      <c r="K6" s="12">
        <f t="shared" ref="K6:K8" si="9">J6/C6</f>
        <v>2.2595000000000001</v>
      </c>
      <c r="L6" s="10">
        <v>869</v>
      </c>
      <c r="M6" s="12">
        <f t="shared" ref="M6:M8" si="10">L6/C6</f>
        <v>0.4345</v>
      </c>
      <c r="N6" s="10">
        <v>1693</v>
      </c>
      <c r="O6" s="12">
        <f t="shared" ref="O6:O8" si="11">N6/C6</f>
        <v>0.84650000000000003</v>
      </c>
      <c r="P6" s="10"/>
      <c r="Q6" s="10"/>
      <c r="R6" s="10"/>
      <c r="S6" s="10"/>
      <c r="T6" s="10"/>
      <c r="U6" s="13"/>
      <c r="V6" s="13"/>
      <c r="W6" s="13"/>
      <c r="X6" s="13"/>
      <c r="Y6" s="13"/>
      <c r="Z6" s="13"/>
    </row>
    <row r="7" spans="1:26" ht="15.4" x14ac:dyDescent="0.55000000000000004">
      <c r="A7" s="14"/>
      <c r="B7" s="8" t="s">
        <v>20</v>
      </c>
      <c r="C7" s="9">
        <v>9533</v>
      </c>
      <c r="D7" s="10">
        <v>6950</v>
      </c>
      <c r="E7" s="11">
        <f t="shared" si="6"/>
        <v>0.7290464701562992</v>
      </c>
      <c r="F7" s="10">
        <v>8050</v>
      </c>
      <c r="G7" s="11">
        <f t="shared" si="7"/>
        <v>0.84443512010909472</v>
      </c>
      <c r="H7" s="10">
        <v>7800</v>
      </c>
      <c r="I7" s="11">
        <f t="shared" si="8"/>
        <v>0.81821042693800483</v>
      </c>
      <c r="J7" s="10">
        <v>8050</v>
      </c>
      <c r="K7" s="12">
        <f t="shared" si="9"/>
        <v>0.84443512010909472</v>
      </c>
      <c r="L7" s="10">
        <v>10450</v>
      </c>
      <c r="M7" s="12">
        <f t="shared" si="10"/>
        <v>1.0961921745515577</v>
      </c>
      <c r="N7" s="10">
        <v>8550</v>
      </c>
      <c r="O7" s="12">
        <f t="shared" si="11"/>
        <v>0.89688450645127449</v>
      </c>
      <c r="P7" s="10"/>
      <c r="Q7" s="10"/>
      <c r="R7" s="10"/>
      <c r="S7" s="10"/>
      <c r="T7" s="10"/>
      <c r="U7" s="13"/>
      <c r="V7" s="13"/>
      <c r="W7" s="13"/>
      <c r="X7" s="13"/>
      <c r="Y7" s="13"/>
      <c r="Z7" s="13"/>
    </row>
    <row r="8" spans="1:26" ht="15.4" x14ac:dyDescent="0.55000000000000004">
      <c r="A8" s="14"/>
      <c r="B8" s="8" t="s">
        <v>21</v>
      </c>
      <c r="C8" s="9">
        <v>2400</v>
      </c>
      <c r="D8" s="10">
        <v>1219</v>
      </c>
      <c r="E8" s="11">
        <f t="shared" si="6"/>
        <v>0.50791666666666668</v>
      </c>
      <c r="F8" s="10">
        <v>776</v>
      </c>
      <c r="G8" s="11">
        <f t="shared" si="7"/>
        <v>0.32333333333333331</v>
      </c>
      <c r="H8" s="10">
        <v>1879</v>
      </c>
      <c r="I8" s="11">
        <f t="shared" si="8"/>
        <v>0.78291666666666671</v>
      </c>
      <c r="J8" s="10">
        <v>1407</v>
      </c>
      <c r="K8" s="12">
        <f t="shared" si="9"/>
        <v>0.58625000000000005</v>
      </c>
      <c r="L8" s="10">
        <v>2479</v>
      </c>
      <c r="M8" s="12">
        <f t="shared" si="10"/>
        <v>1.0329166666666667</v>
      </c>
      <c r="N8" s="10">
        <v>1792</v>
      </c>
      <c r="O8" s="12">
        <f t="shared" si="11"/>
        <v>0.7466666666666667</v>
      </c>
      <c r="P8" s="10"/>
      <c r="Q8" s="10"/>
      <c r="R8" s="10"/>
      <c r="S8" s="10"/>
      <c r="T8" s="10"/>
      <c r="U8" s="13"/>
      <c r="V8" s="13"/>
      <c r="W8" s="13"/>
      <c r="X8" s="13"/>
      <c r="Y8" s="13"/>
      <c r="Z8" s="13"/>
    </row>
    <row r="9" spans="1:26" ht="15.4" x14ac:dyDescent="0.55000000000000004">
      <c r="A9" s="14"/>
      <c r="B9" s="8" t="s">
        <v>22</v>
      </c>
      <c r="C9" s="18"/>
      <c r="D9" s="19">
        <v>0</v>
      </c>
      <c r="E9" s="17"/>
      <c r="F9" s="10">
        <v>0</v>
      </c>
      <c r="G9" s="17"/>
      <c r="H9" s="10">
        <v>0</v>
      </c>
      <c r="I9" s="17"/>
      <c r="J9" s="10"/>
      <c r="K9" s="10"/>
      <c r="L9" s="10">
        <v>480</v>
      </c>
      <c r="M9" s="12"/>
      <c r="N9" s="10"/>
      <c r="O9" s="12"/>
      <c r="P9" s="10"/>
      <c r="Q9" s="10"/>
      <c r="R9" s="10"/>
      <c r="S9" s="10"/>
      <c r="T9" s="10"/>
      <c r="U9" s="13"/>
      <c r="V9" s="13"/>
      <c r="W9" s="13"/>
      <c r="X9" s="13"/>
      <c r="Y9" s="13"/>
      <c r="Z9" s="13"/>
    </row>
    <row r="10" spans="1:26" ht="15.4" x14ac:dyDescent="0.55000000000000004">
      <c r="A10" s="14"/>
      <c r="B10" s="20" t="s">
        <v>23</v>
      </c>
      <c r="C10" s="21">
        <f t="shared" ref="C10:D10" si="12">SUM(C2:C9)</f>
        <v>34066</v>
      </c>
      <c r="D10" s="22">
        <f t="shared" si="12"/>
        <v>25235</v>
      </c>
      <c r="E10" s="17">
        <f>D10/C10</f>
        <v>0.7407679210943463</v>
      </c>
      <c r="F10" s="23">
        <f>SUM(F2:F9)</f>
        <v>32568</v>
      </c>
      <c r="G10" s="17">
        <f>F10/C10</f>
        <v>0.95602653672283211</v>
      </c>
      <c r="H10" s="23">
        <f>SUM(H2:H9)</f>
        <v>33369</v>
      </c>
      <c r="I10" s="17">
        <f>H10/C10</f>
        <v>0.9795397170199025</v>
      </c>
      <c r="J10" s="23">
        <f>SUM(J2:J8)</f>
        <v>45316</v>
      </c>
      <c r="K10" s="24">
        <f>J10/C10</f>
        <v>1.3302412963071684</v>
      </c>
      <c r="L10" s="23">
        <f>SUM(L2:L8)</f>
        <v>35195</v>
      </c>
      <c r="M10" s="12">
        <f>L10/C10</f>
        <v>1.0331415487582927</v>
      </c>
      <c r="N10" s="23">
        <f>SUM(N2:N8)</f>
        <v>37376</v>
      </c>
      <c r="O10" s="12">
        <f>N10/C10</f>
        <v>1.0971643280690424</v>
      </c>
      <c r="P10" s="10"/>
      <c r="Q10" s="10"/>
      <c r="R10" s="10"/>
      <c r="S10" s="10"/>
      <c r="T10" s="10"/>
      <c r="U10" s="13"/>
      <c r="V10" s="13"/>
      <c r="W10" s="13"/>
      <c r="X10" s="13"/>
      <c r="Y10" s="13"/>
      <c r="Z10" s="13"/>
    </row>
    <row r="11" spans="1:26" ht="15.4" x14ac:dyDescent="0.55000000000000004">
      <c r="A11" s="14"/>
      <c r="B11" s="8"/>
      <c r="C11" s="18"/>
      <c r="D11" s="16"/>
      <c r="E11" s="17"/>
      <c r="F11" s="10"/>
      <c r="G11" s="17"/>
      <c r="H11" s="10"/>
      <c r="I11" s="1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3"/>
      <c r="V11" s="13"/>
      <c r="W11" s="13"/>
      <c r="X11" s="13"/>
      <c r="Y11" s="13"/>
      <c r="Z11" s="13"/>
    </row>
    <row r="12" spans="1:26" ht="15.4" x14ac:dyDescent="0.55000000000000004">
      <c r="A12" s="14"/>
      <c r="B12" s="25" t="s">
        <v>24</v>
      </c>
      <c r="C12" s="18"/>
      <c r="D12" s="19"/>
      <c r="E12" s="11"/>
      <c r="F12" s="19"/>
      <c r="G12" s="11"/>
      <c r="H12" s="19"/>
      <c r="I12" s="11"/>
      <c r="J12" s="19"/>
      <c r="K12" s="19"/>
      <c r="L12" s="19"/>
      <c r="M12" s="19"/>
      <c r="N12" s="10"/>
      <c r="O12" s="10"/>
      <c r="P12" s="10"/>
      <c r="Q12" s="10"/>
      <c r="R12" s="10"/>
      <c r="S12" s="10"/>
      <c r="T12" s="10"/>
      <c r="U12" s="13"/>
      <c r="V12" s="13"/>
      <c r="W12" s="13"/>
      <c r="X12" s="13"/>
      <c r="Y12" s="13"/>
      <c r="Z12" s="13"/>
    </row>
    <row r="13" spans="1:26" ht="15.4" x14ac:dyDescent="0.55000000000000004">
      <c r="A13" s="26"/>
      <c r="B13" s="8" t="s">
        <v>22</v>
      </c>
      <c r="C13" s="9">
        <v>200</v>
      </c>
      <c r="D13" s="19">
        <v>200</v>
      </c>
      <c r="E13" s="11"/>
      <c r="F13" s="27">
        <v>200</v>
      </c>
      <c r="G13" s="11"/>
      <c r="H13" s="19"/>
      <c r="I13" s="11"/>
      <c r="J13" s="19"/>
      <c r="K13" s="19"/>
      <c r="L13" s="19"/>
      <c r="M13" s="19"/>
      <c r="N13" s="10"/>
      <c r="O13" s="10"/>
      <c r="P13" s="10"/>
      <c r="Q13" s="10"/>
      <c r="R13" s="10"/>
      <c r="S13" s="10"/>
      <c r="T13" s="10"/>
      <c r="U13" s="13"/>
      <c r="V13" s="13"/>
      <c r="W13" s="13"/>
      <c r="X13" s="13"/>
      <c r="Y13" s="13"/>
      <c r="Z13" s="13"/>
    </row>
    <row r="14" spans="1:26" ht="15.4" x14ac:dyDescent="0.55000000000000004">
      <c r="A14" s="28"/>
      <c r="B14" s="8" t="s">
        <v>25</v>
      </c>
      <c r="C14" s="9">
        <v>1200</v>
      </c>
      <c r="D14" s="19">
        <v>1200</v>
      </c>
      <c r="E14" s="11"/>
      <c r="F14" s="19">
        <v>1200</v>
      </c>
      <c r="G14" s="11"/>
      <c r="H14" s="19"/>
      <c r="I14" s="11"/>
      <c r="J14" s="19"/>
      <c r="K14" s="19"/>
      <c r="L14" s="19"/>
      <c r="M14" s="19"/>
      <c r="N14" s="10"/>
      <c r="O14" s="10"/>
      <c r="P14" s="10"/>
      <c r="Q14" s="10"/>
      <c r="R14" s="10"/>
      <c r="S14" s="10"/>
      <c r="T14" s="10"/>
      <c r="U14" s="13"/>
      <c r="V14" s="13"/>
      <c r="W14" s="13"/>
      <c r="X14" s="13"/>
      <c r="Y14" s="13"/>
      <c r="Z14" s="13"/>
    </row>
    <row r="15" spans="1:26" ht="15.4" x14ac:dyDescent="0.55000000000000004">
      <c r="A15" s="28"/>
      <c r="B15" s="29"/>
      <c r="C15" s="30"/>
      <c r="D15" s="31"/>
      <c r="E15" s="17"/>
      <c r="F15" s="10"/>
      <c r="G15" s="17"/>
      <c r="H15" s="10"/>
      <c r="I15" s="1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3"/>
      <c r="V15" s="13"/>
      <c r="W15" s="13"/>
      <c r="X15" s="13"/>
      <c r="Y15" s="13"/>
      <c r="Z15" s="13"/>
    </row>
    <row r="16" spans="1:26" ht="15.4" x14ac:dyDescent="0.55000000000000004">
      <c r="A16" s="28"/>
      <c r="B16" s="25" t="s">
        <v>26</v>
      </c>
      <c r="C16" s="21">
        <f>SUM(C13:C14)</f>
        <v>1400</v>
      </c>
      <c r="D16" s="22">
        <v>1400</v>
      </c>
      <c r="E16" s="17"/>
      <c r="F16" s="23">
        <f>D16*2</f>
        <v>2800</v>
      </c>
      <c r="G16" s="17"/>
      <c r="H16" s="10"/>
      <c r="I16" s="12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3"/>
      <c r="V16" s="13"/>
      <c r="W16" s="13"/>
      <c r="X16" s="13"/>
      <c r="Y16" s="13"/>
      <c r="Z16" s="13"/>
    </row>
    <row r="17" spans="1:26" ht="15.4" x14ac:dyDescent="0.55000000000000004">
      <c r="A17" s="32"/>
      <c r="B17" s="33"/>
      <c r="C17" s="34"/>
      <c r="D17" s="35"/>
      <c r="E17" s="36"/>
      <c r="F17" s="35"/>
      <c r="G17" s="36"/>
      <c r="H17" s="35"/>
      <c r="I17" s="37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3"/>
      <c r="V17" s="33"/>
      <c r="W17" s="33"/>
      <c r="X17" s="33"/>
      <c r="Y17" s="33"/>
      <c r="Z17" s="33"/>
    </row>
    <row r="18" spans="1:26" ht="15.4" x14ac:dyDescent="0.55000000000000004">
      <c r="A18" s="38" t="s">
        <v>27</v>
      </c>
      <c r="B18" s="39" t="s">
        <v>28</v>
      </c>
      <c r="C18" s="40">
        <v>750</v>
      </c>
      <c r="D18" s="10">
        <v>750</v>
      </c>
      <c r="E18" s="11">
        <f t="shared" ref="E18:E20" si="13">D18/C18</f>
        <v>1</v>
      </c>
      <c r="F18" s="10">
        <v>0</v>
      </c>
      <c r="G18" s="11"/>
      <c r="H18" s="10">
        <v>1758</v>
      </c>
      <c r="I18" s="12"/>
      <c r="J18" s="10">
        <v>734</v>
      </c>
      <c r="K18" s="10"/>
      <c r="L18" s="10">
        <v>1468</v>
      </c>
      <c r="M18" s="10"/>
      <c r="N18" s="10">
        <v>734</v>
      </c>
      <c r="O18" s="10"/>
      <c r="P18" s="10"/>
      <c r="Q18" s="10"/>
      <c r="R18" s="10"/>
      <c r="S18" s="10"/>
      <c r="T18" s="10"/>
      <c r="U18" s="13"/>
      <c r="V18" s="13"/>
      <c r="W18" s="13"/>
      <c r="X18" s="13"/>
      <c r="Y18" s="13"/>
      <c r="Z18" s="13"/>
    </row>
    <row r="19" spans="1:26" ht="15.4" x14ac:dyDescent="0.55000000000000004">
      <c r="A19" s="14"/>
      <c r="B19" s="39" t="s">
        <v>29</v>
      </c>
      <c r="C19" s="40">
        <v>700</v>
      </c>
      <c r="D19" s="10">
        <v>699</v>
      </c>
      <c r="E19" s="11">
        <f t="shared" si="13"/>
        <v>0.99857142857142855</v>
      </c>
      <c r="F19" s="10">
        <v>0</v>
      </c>
      <c r="G19" s="11"/>
      <c r="H19" s="10">
        <v>899</v>
      </c>
      <c r="I19" s="12"/>
      <c r="J19" s="10">
        <v>699</v>
      </c>
      <c r="K19" s="10"/>
      <c r="L19" s="10">
        <v>1398</v>
      </c>
      <c r="M19" s="10"/>
      <c r="N19" s="10"/>
      <c r="O19" s="10"/>
      <c r="P19" s="10"/>
      <c r="Q19" s="10"/>
      <c r="R19" s="10"/>
      <c r="S19" s="10"/>
      <c r="T19" s="10"/>
      <c r="U19" s="13"/>
      <c r="V19" s="13"/>
      <c r="W19" s="13"/>
      <c r="X19" s="13"/>
      <c r="Y19" s="13"/>
      <c r="Z19" s="13"/>
    </row>
    <row r="20" spans="1:26" ht="15.4" x14ac:dyDescent="0.55000000000000004">
      <c r="A20" s="14"/>
      <c r="B20" s="39" t="s">
        <v>30</v>
      </c>
      <c r="C20" s="40">
        <v>2053</v>
      </c>
      <c r="D20" s="10">
        <f>720+329+239+149+149</f>
        <v>1586</v>
      </c>
      <c r="E20" s="11">
        <f t="shared" si="13"/>
        <v>0.77252800779347297</v>
      </c>
      <c r="F20" s="10">
        <f>730+329+239+209+149</f>
        <v>1656</v>
      </c>
      <c r="G20" s="11">
        <f>F20/C20</f>
        <v>0.80662445202143207</v>
      </c>
      <c r="H20" s="10">
        <f>900+730+329+239+209+149</f>
        <v>2556</v>
      </c>
      <c r="I20" s="12"/>
      <c r="J20" s="10">
        <f>1176+720</f>
        <v>1896</v>
      </c>
      <c r="K20" s="10"/>
      <c r="L20" s="10">
        <f>720+360+239</f>
        <v>1319</v>
      </c>
      <c r="M20" s="10"/>
      <c r="N20" s="10">
        <v>3234</v>
      </c>
      <c r="O20" s="10"/>
      <c r="P20" s="10"/>
      <c r="Q20" s="10"/>
      <c r="R20" s="10"/>
      <c r="S20" s="10"/>
      <c r="T20" s="10"/>
      <c r="U20" s="13"/>
      <c r="V20" s="13"/>
      <c r="W20" s="13"/>
      <c r="X20" s="13"/>
      <c r="Y20" s="13"/>
      <c r="Z20" s="13"/>
    </row>
    <row r="21" spans="1:26" ht="15.4" x14ac:dyDescent="0.55000000000000004">
      <c r="A21" s="14"/>
      <c r="B21" s="39" t="s">
        <v>31</v>
      </c>
      <c r="C21" s="41"/>
      <c r="D21" s="19">
        <v>0</v>
      </c>
      <c r="E21" s="17"/>
      <c r="F21" s="16">
        <v>3765</v>
      </c>
      <c r="G21" s="17"/>
      <c r="H21" s="10">
        <v>0</v>
      </c>
      <c r="I21" s="12"/>
      <c r="J21" s="10">
        <v>0</v>
      </c>
      <c r="K21" s="10"/>
      <c r="L21" s="10">
        <v>65</v>
      </c>
      <c r="M21" s="10"/>
      <c r="N21" s="10"/>
      <c r="O21" s="10"/>
      <c r="P21" s="10"/>
      <c r="Q21" s="10"/>
      <c r="R21" s="10"/>
      <c r="S21" s="10"/>
      <c r="T21" s="10"/>
      <c r="U21" s="13"/>
      <c r="V21" s="13"/>
      <c r="W21" s="13"/>
      <c r="X21" s="13"/>
      <c r="Y21" s="13"/>
      <c r="Z21" s="13"/>
    </row>
    <row r="22" spans="1:26" ht="15.4" x14ac:dyDescent="0.55000000000000004">
      <c r="A22" s="14"/>
      <c r="B22" s="39" t="s">
        <v>32</v>
      </c>
      <c r="C22" s="42"/>
      <c r="D22" s="19">
        <v>0</v>
      </c>
      <c r="E22" s="17"/>
      <c r="F22" s="10">
        <v>0</v>
      </c>
      <c r="G22" s="17"/>
      <c r="H22" s="10">
        <v>0</v>
      </c>
      <c r="I22" s="12"/>
      <c r="J22" s="10">
        <f>1389</f>
        <v>1389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3"/>
      <c r="V22" s="13"/>
      <c r="W22" s="13"/>
      <c r="X22" s="13"/>
      <c r="Y22" s="13"/>
      <c r="Z22" s="13"/>
    </row>
    <row r="23" spans="1:26" ht="15.4" x14ac:dyDescent="0.55000000000000004">
      <c r="A23" s="14"/>
      <c r="B23" s="39" t="s">
        <v>33</v>
      </c>
      <c r="C23" s="42"/>
      <c r="D23" s="19">
        <v>0</v>
      </c>
      <c r="E23" s="17"/>
      <c r="F23" s="10">
        <v>0</v>
      </c>
      <c r="G23" s="17"/>
      <c r="H23" s="10">
        <v>1387</v>
      </c>
      <c r="I23" s="12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3"/>
      <c r="V23" s="13"/>
      <c r="W23" s="13"/>
      <c r="X23" s="13"/>
      <c r="Y23" s="13"/>
      <c r="Z23" s="13"/>
    </row>
    <row r="24" spans="1:26" ht="15.4" x14ac:dyDescent="0.55000000000000004">
      <c r="A24" s="14"/>
      <c r="B24" s="43" t="s">
        <v>23</v>
      </c>
      <c r="C24" s="44">
        <f>SUM(C18:C22)</f>
        <v>3503</v>
      </c>
      <c r="D24" s="22">
        <f>SUM(D18:D20)</f>
        <v>3035</v>
      </c>
      <c r="E24" s="17"/>
      <c r="F24" s="23">
        <f>SUM(F18:F23)</f>
        <v>5421</v>
      </c>
      <c r="G24" s="17"/>
      <c r="H24" s="23">
        <f>SUM(H18:H23)</f>
        <v>6600</v>
      </c>
      <c r="I24" s="12"/>
      <c r="J24" s="23">
        <f>SUM(J18:J23)</f>
        <v>4718</v>
      </c>
      <c r="K24" s="10"/>
      <c r="L24" s="23">
        <f>SUM(L18:L23)</f>
        <v>4250</v>
      </c>
      <c r="M24" s="10"/>
      <c r="N24" s="23">
        <f>SUM(N18:N23)</f>
        <v>3968</v>
      </c>
      <c r="O24" s="10"/>
      <c r="P24" s="10"/>
      <c r="Q24" s="10"/>
      <c r="R24" s="10"/>
      <c r="S24" s="10"/>
      <c r="T24" s="10"/>
      <c r="U24" s="13"/>
      <c r="V24" s="13"/>
      <c r="W24" s="13"/>
      <c r="X24" s="13"/>
      <c r="Y24" s="13"/>
      <c r="Z24" s="13"/>
    </row>
    <row r="25" spans="1:26" ht="15.4" x14ac:dyDescent="0.55000000000000004">
      <c r="A25" s="14"/>
      <c r="B25" s="39"/>
      <c r="C25" s="42"/>
      <c r="D25" s="16"/>
      <c r="E25" s="17"/>
      <c r="F25" s="10"/>
      <c r="G25" s="17"/>
      <c r="H25" s="10"/>
      <c r="I25" s="12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3"/>
      <c r="V25" s="13"/>
      <c r="W25" s="13"/>
      <c r="X25" s="13"/>
      <c r="Y25" s="13"/>
      <c r="Z25" s="13"/>
    </row>
    <row r="26" spans="1:26" ht="15.4" x14ac:dyDescent="0.55000000000000004">
      <c r="A26" s="14"/>
      <c r="B26" s="45" t="s">
        <v>24</v>
      </c>
      <c r="C26" s="42"/>
      <c r="D26" s="16"/>
      <c r="E26" s="17"/>
      <c r="F26" s="10"/>
      <c r="G26" s="17"/>
      <c r="H26" s="10"/>
      <c r="I26" s="12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3"/>
      <c r="V26" s="13"/>
      <c r="W26" s="13"/>
      <c r="X26" s="13"/>
      <c r="Y26" s="13"/>
      <c r="Z26" s="13"/>
    </row>
    <row r="27" spans="1:26" ht="15.4" x14ac:dyDescent="0.55000000000000004">
      <c r="A27" s="14"/>
      <c r="B27" s="39" t="s">
        <v>31</v>
      </c>
      <c r="C27" s="41">
        <v>75</v>
      </c>
      <c r="D27" s="19">
        <v>75</v>
      </c>
      <c r="E27" s="17"/>
      <c r="F27" s="19">
        <v>75</v>
      </c>
      <c r="G27" s="17"/>
      <c r="H27" s="19">
        <v>75</v>
      </c>
      <c r="I27" s="12"/>
      <c r="J27" s="19">
        <v>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3"/>
      <c r="V27" s="13"/>
      <c r="W27" s="13"/>
      <c r="X27" s="13"/>
      <c r="Y27" s="13"/>
      <c r="Z27" s="13"/>
    </row>
    <row r="28" spans="1:26" ht="15.4" x14ac:dyDescent="0.55000000000000004">
      <c r="A28" s="14"/>
      <c r="B28" s="39" t="s">
        <v>32</v>
      </c>
      <c r="C28" s="41">
        <v>750</v>
      </c>
      <c r="D28" s="19">
        <v>750</v>
      </c>
      <c r="E28" s="17"/>
      <c r="F28" s="19">
        <v>750</v>
      </c>
      <c r="G28" s="17"/>
      <c r="H28" s="19">
        <v>750</v>
      </c>
      <c r="I28" s="12"/>
      <c r="J28" s="19">
        <v>750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3"/>
      <c r="V28" s="13"/>
      <c r="W28" s="13"/>
      <c r="X28" s="13"/>
      <c r="Y28" s="13"/>
      <c r="Z28" s="13"/>
    </row>
    <row r="29" spans="1:26" ht="15.4" x14ac:dyDescent="0.55000000000000004">
      <c r="A29" s="14"/>
      <c r="B29" s="39" t="s">
        <v>33</v>
      </c>
      <c r="C29" s="41">
        <v>600</v>
      </c>
      <c r="D29" s="19">
        <v>600</v>
      </c>
      <c r="E29" s="17"/>
      <c r="F29" s="19">
        <v>600</v>
      </c>
      <c r="G29" s="17"/>
      <c r="H29" s="19">
        <v>600</v>
      </c>
      <c r="I29" s="12"/>
      <c r="J29" s="19">
        <v>600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3"/>
      <c r="V29" s="13"/>
      <c r="W29" s="13"/>
      <c r="X29" s="13"/>
      <c r="Y29" s="13"/>
      <c r="Z29" s="13"/>
    </row>
    <row r="30" spans="1:26" ht="15.4" x14ac:dyDescent="0.55000000000000004">
      <c r="A30" s="14"/>
      <c r="B30" s="39" t="s">
        <v>34</v>
      </c>
      <c r="C30" s="41">
        <v>430</v>
      </c>
      <c r="D30" s="19">
        <v>430</v>
      </c>
      <c r="E30" s="17"/>
      <c r="F30" s="19">
        <v>430</v>
      </c>
      <c r="G30" s="17"/>
      <c r="H30" s="19">
        <v>430</v>
      </c>
      <c r="I30" s="12"/>
      <c r="J30" s="19">
        <v>430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3"/>
      <c r="V30" s="13"/>
      <c r="W30" s="13"/>
      <c r="X30" s="13"/>
      <c r="Y30" s="13"/>
      <c r="Z30" s="13"/>
    </row>
    <row r="31" spans="1:26" ht="15.4" x14ac:dyDescent="0.55000000000000004">
      <c r="A31" s="26"/>
      <c r="B31" s="39"/>
      <c r="C31" s="46"/>
      <c r="D31" s="23"/>
      <c r="E31" s="17"/>
      <c r="F31" s="10"/>
      <c r="G31" s="17"/>
      <c r="H31" s="10"/>
      <c r="I31" s="12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3"/>
      <c r="V31" s="13"/>
      <c r="W31" s="13"/>
      <c r="X31" s="13"/>
      <c r="Y31" s="13"/>
      <c r="Z31" s="13"/>
    </row>
    <row r="32" spans="1:26" ht="15.4" x14ac:dyDescent="0.55000000000000004">
      <c r="A32" s="47"/>
      <c r="B32" s="45" t="s">
        <v>26</v>
      </c>
      <c r="C32" s="44">
        <f>SUM(C26:C30)</f>
        <v>1855</v>
      </c>
      <c r="D32" s="22">
        <f>SUM(D27:D30)</f>
        <v>1855</v>
      </c>
      <c r="E32" s="17"/>
      <c r="F32" s="23">
        <f>D32*2</f>
        <v>3710</v>
      </c>
      <c r="G32" s="17"/>
      <c r="H32" s="23">
        <f>D32*3</f>
        <v>5565</v>
      </c>
      <c r="I32" s="12"/>
      <c r="J32" s="23">
        <f>D32*4</f>
        <v>7420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3"/>
      <c r="V32" s="13"/>
      <c r="W32" s="13"/>
      <c r="X32" s="13"/>
      <c r="Y32" s="13"/>
      <c r="Z32" s="13"/>
    </row>
    <row r="33" spans="1:26" ht="15.4" x14ac:dyDescent="0.55000000000000004">
      <c r="A33" s="32"/>
      <c r="B33" s="33"/>
      <c r="C33" s="34"/>
      <c r="D33" s="35"/>
      <c r="E33" s="36"/>
      <c r="F33" s="35"/>
      <c r="G33" s="36"/>
      <c r="H33" s="35"/>
      <c r="I33" s="37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3"/>
      <c r="V33" s="33"/>
      <c r="W33" s="33"/>
      <c r="X33" s="33"/>
      <c r="Y33" s="33"/>
      <c r="Z33" s="33"/>
    </row>
    <row r="34" spans="1:26" ht="15.4" x14ac:dyDescent="0.55000000000000004">
      <c r="A34" s="48" t="s">
        <v>35</v>
      </c>
      <c r="B34" s="49" t="s">
        <v>36</v>
      </c>
      <c r="C34" s="50">
        <v>2400</v>
      </c>
      <c r="D34" s="10">
        <v>3321</v>
      </c>
      <c r="E34" s="11">
        <f t="shared" ref="E34:E37" si="14">D34/C34</f>
        <v>1.38375</v>
      </c>
      <c r="F34" s="10">
        <v>2213</v>
      </c>
      <c r="G34" s="11">
        <f t="shared" ref="G34:G37" si="15">F34/C34</f>
        <v>0.92208333333333337</v>
      </c>
      <c r="H34" s="10">
        <v>960</v>
      </c>
      <c r="I34" s="12"/>
      <c r="J34" s="10">
        <v>1986</v>
      </c>
      <c r="K34" s="10"/>
      <c r="L34" s="10">
        <v>3162</v>
      </c>
      <c r="M34" s="10"/>
      <c r="N34" s="10">
        <v>1966</v>
      </c>
      <c r="O34" s="10"/>
      <c r="P34" s="10"/>
      <c r="Q34" s="10"/>
      <c r="R34" s="10"/>
      <c r="S34" s="10"/>
      <c r="T34" s="10"/>
      <c r="U34" s="13"/>
      <c r="V34" s="13"/>
      <c r="W34" s="13"/>
      <c r="X34" s="13"/>
      <c r="Y34" s="13"/>
      <c r="Z34" s="13"/>
    </row>
    <row r="35" spans="1:26" ht="15.4" x14ac:dyDescent="0.55000000000000004">
      <c r="A35" s="14"/>
      <c r="B35" s="49" t="s">
        <v>37</v>
      </c>
      <c r="C35" s="50">
        <v>2400</v>
      </c>
      <c r="D35" s="10">
        <v>2128</v>
      </c>
      <c r="E35" s="11">
        <f t="shared" si="14"/>
        <v>0.88666666666666671</v>
      </c>
      <c r="F35" s="10">
        <v>2357</v>
      </c>
      <c r="G35" s="11">
        <f t="shared" si="15"/>
        <v>0.98208333333333331</v>
      </c>
      <c r="H35" s="10">
        <v>2282</v>
      </c>
      <c r="I35" s="12"/>
      <c r="J35" s="10">
        <v>3240</v>
      </c>
      <c r="K35" s="10"/>
      <c r="L35" s="10">
        <v>2038</v>
      </c>
      <c r="M35" s="10"/>
      <c r="N35" s="10">
        <v>2652</v>
      </c>
      <c r="O35" s="10"/>
      <c r="P35" s="10"/>
      <c r="Q35" s="10"/>
      <c r="R35" s="10"/>
      <c r="S35" s="10"/>
      <c r="T35" s="10"/>
      <c r="U35" s="13"/>
      <c r="V35" s="13"/>
      <c r="W35" s="13"/>
      <c r="X35" s="13"/>
      <c r="Y35" s="13"/>
      <c r="Z35" s="13"/>
    </row>
    <row r="36" spans="1:26" ht="15.4" x14ac:dyDescent="0.55000000000000004">
      <c r="A36" s="14"/>
      <c r="B36" s="49" t="s">
        <v>38</v>
      </c>
      <c r="C36" s="50">
        <v>1900</v>
      </c>
      <c r="D36" s="10">
        <f>1061+818</f>
        <v>1879</v>
      </c>
      <c r="E36" s="11">
        <f t="shared" si="14"/>
        <v>0.98894736842105269</v>
      </c>
      <c r="F36" s="10">
        <f>1061+818</f>
        <v>1879</v>
      </c>
      <c r="G36" s="11">
        <f t="shared" si="15"/>
        <v>0.98894736842105269</v>
      </c>
      <c r="H36" s="10">
        <f>1061+818</f>
        <v>1879</v>
      </c>
      <c r="I36" s="12"/>
      <c r="J36" s="10">
        <v>1879</v>
      </c>
      <c r="K36" s="10"/>
      <c r="L36" s="10">
        <v>1879</v>
      </c>
      <c r="M36" s="10"/>
      <c r="N36" s="10">
        <v>1879</v>
      </c>
      <c r="O36" s="10"/>
      <c r="P36" s="10"/>
      <c r="Q36" s="10"/>
      <c r="R36" s="10"/>
      <c r="S36" s="10"/>
      <c r="T36" s="10"/>
      <c r="U36" s="13"/>
      <c r="V36" s="13"/>
      <c r="W36" s="13"/>
      <c r="X36" s="13"/>
      <c r="Y36" s="13"/>
      <c r="Z36" s="13"/>
    </row>
    <row r="37" spans="1:26" ht="15.4" x14ac:dyDescent="0.55000000000000004">
      <c r="A37" s="14"/>
      <c r="B37" s="49" t="s">
        <v>39</v>
      </c>
      <c r="C37" s="50">
        <v>1300</v>
      </c>
      <c r="D37" s="10">
        <v>1140</v>
      </c>
      <c r="E37" s="11">
        <f t="shared" si="14"/>
        <v>0.87692307692307692</v>
      </c>
      <c r="F37" s="10">
        <v>1300</v>
      </c>
      <c r="G37" s="11">
        <f t="shared" si="15"/>
        <v>1</v>
      </c>
      <c r="H37" s="10">
        <v>560</v>
      </c>
      <c r="I37" s="12"/>
      <c r="J37" s="10">
        <v>1061</v>
      </c>
      <c r="K37" s="10"/>
      <c r="L37" s="10">
        <v>860</v>
      </c>
      <c r="M37" s="10"/>
      <c r="N37" s="10">
        <v>640</v>
      </c>
      <c r="O37" s="10"/>
      <c r="P37" s="10"/>
      <c r="Q37" s="10"/>
      <c r="R37" s="10"/>
      <c r="S37" s="10"/>
      <c r="T37" s="10"/>
      <c r="U37" s="13"/>
      <c r="V37" s="13"/>
      <c r="W37" s="13"/>
      <c r="X37" s="13"/>
      <c r="Y37" s="13"/>
      <c r="Z37" s="13"/>
    </row>
    <row r="38" spans="1:26" ht="15.4" x14ac:dyDescent="0.55000000000000004">
      <c r="A38" s="14"/>
      <c r="B38" s="49" t="s">
        <v>40</v>
      </c>
      <c r="C38" s="51"/>
      <c r="D38" s="19">
        <v>0</v>
      </c>
      <c r="E38" s="17"/>
      <c r="F38" s="10">
        <v>0</v>
      </c>
      <c r="G38" s="17"/>
      <c r="H38" s="10">
        <v>115</v>
      </c>
      <c r="I38" s="12"/>
      <c r="J38" s="10">
        <v>507</v>
      </c>
      <c r="K38" s="10"/>
      <c r="L38" s="10"/>
      <c r="M38" s="10"/>
      <c r="N38" s="10">
        <v>3620</v>
      </c>
      <c r="O38" s="10"/>
      <c r="P38" s="10"/>
      <c r="Q38" s="10"/>
      <c r="R38" s="10"/>
      <c r="S38" s="10"/>
      <c r="T38" s="10"/>
      <c r="U38" s="13"/>
      <c r="V38" s="13"/>
      <c r="W38" s="13"/>
      <c r="X38" s="13"/>
      <c r="Y38" s="13"/>
      <c r="Z38" s="13"/>
    </row>
    <row r="39" spans="1:26" ht="15.4" x14ac:dyDescent="0.55000000000000004">
      <c r="A39" s="14"/>
      <c r="B39" s="49" t="s">
        <v>41</v>
      </c>
      <c r="C39" s="51"/>
      <c r="D39" s="19">
        <v>0</v>
      </c>
      <c r="E39" s="17"/>
      <c r="F39" s="16">
        <v>912</v>
      </c>
      <c r="G39" s="17"/>
      <c r="H39" s="10"/>
      <c r="I39" s="12"/>
      <c r="J39" s="10"/>
      <c r="K39" s="10"/>
      <c r="L39" s="10"/>
      <c r="M39" s="10"/>
      <c r="N39" s="10">
        <v>1000</v>
      </c>
      <c r="O39" s="10"/>
      <c r="P39" s="10"/>
      <c r="Q39" s="10"/>
      <c r="R39" s="10"/>
      <c r="S39" s="10"/>
      <c r="T39" s="10"/>
      <c r="U39" s="13"/>
      <c r="V39" s="13"/>
      <c r="W39" s="13"/>
      <c r="X39" s="13"/>
      <c r="Y39" s="13"/>
      <c r="Z39" s="13"/>
    </row>
    <row r="40" spans="1:26" ht="15.4" x14ac:dyDescent="0.55000000000000004">
      <c r="A40" s="14"/>
      <c r="B40" s="49" t="s">
        <v>42</v>
      </c>
      <c r="C40" s="50">
        <v>250</v>
      </c>
      <c r="D40" s="10">
        <v>257</v>
      </c>
      <c r="E40" s="11">
        <f t="shared" ref="E40:E41" si="16">D40/C40</f>
        <v>1.028</v>
      </c>
      <c r="F40" s="10">
        <v>238</v>
      </c>
      <c r="G40" s="11">
        <f t="shared" ref="G40:G41" si="17">F40/C40</f>
        <v>0.95199999999999996</v>
      </c>
      <c r="H40" s="10">
        <v>218</v>
      </c>
      <c r="I40" s="12"/>
      <c r="J40" s="10">
        <v>213</v>
      </c>
      <c r="K40" s="10"/>
      <c r="L40" s="10">
        <v>380</v>
      </c>
      <c r="M40" s="10"/>
      <c r="N40" s="10">
        <v>24</v>
      </c>
      <c r="O40" s="10"/>
      <c r="P40" s="10"/>
      <c r="Q40" s="10"/>
      <c r="R40" s="10"/>
      <c r="S40" s="10"/>
      <c r="T40" s="10"/>
      <c r="U40" s="13"/>
      <c r="V40" s="13"/>
      <c r="W40" s="13"/>
      <c r="X40" s="13"/>
      <c r="Y40" s="13"/>
      <c r="Z40" s="13"/>
    </row>
    <row r="41" spans="1:26" ht="15.4" x14ac:dyDescent="0.55000000000000004">
      <c r="A41" s="14"/>
      <c r="B41" s="49" t="s">
        <v>43</v>
      </c>
      <c r="C41" s="50">
        <v>500</v>
      </c>
      <c r="D41" s="10">
        <v>320</v>
      </c>
      <c r="E41" s="11">
        <f t="shared" si="16"/>
        <v>0.64</v>
      </c>
      <c r="F41" s="10">
        <v>0</v>
      </c>
      <c r="G41" s="11">
        <f t="shared" si="17"/>
        <v>0</v>
      </c>
      <c r="H41" s="10"/>
      <c r="I41" s="12"/>
      <c r="J41" s="10">
        <v>165</v>
      </c>
      <c r="K41" s="10"/>
      <c r="L41" s="10"/>
      <c r="M41" s="10"/>
      <c r="N41" s="10">
        <v>450</v>
      </c>
      <c r="O41" s="10"/>
      <c r="P41" s="10"/>
      <c r="Q41" s="10"/>
      <c r="R41" s="10"/>
      <c r="S41" s="10"/>
      <c r="T41" s="10"/>
      <c r="U41" s="13"/>
      <c r="V41" s="13"/>
      <c r="W41" s="13"/>
      <c r="X41" s="13"/>
      <c r="Y41" s="13"/>
      <c r="Z41" s="13"/>
    </row>
    <row r="42" spans="1:26" ht="15.4" x14ac:dyDescent="0.55000000000000004">
      <c r="A42" s="14"/>
      <c r="B42" s="49" t="s">
        <v>44</v>
      </c>
      <c r="C42" s="51"/>
      <c r="D42" s="16"/>
      <c r="E42" s="17"/>
      <c r="F42" s="10"/>
      <c r="G42" s="17"/>
      <c r="H42" s="10"/>
      <c r="I42" s="12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3"/>
      <c r="V42" s="13"/>
      <c r="W42" s="13"/>
      <c r="X42" s="13"/>
      <c r="Y42" s="13"/>
      <c r="Z42" s="13"/>
    </row>
    <row r="43" spans="1:26" ht="15.4" x14ac:dyDescent="0.55000000000000004">
      <c r="A43" s="14"/>
      <c r="B43" s="52" t="s">
        <v>23</v>
      </c>
      <c r="C43" s="53">
        <f>SUM(C33:C42)</f>
        <v>8750</v>
      </c>
      <c r="D43" s="23">
        <f>SUM(D34:D42)</f>
        <v>9045</v>
      </c>
      <c r="E43" s="11">
        <f>D43/C43</f>
        <v>1.0337142857142858</v>
      </c>
      <c r="F43" s="23">
        <f>SUM(F34:F41)</f>
        <v>8899</v>
      </c>
      <c r="G43" s="11">
        <f>F43/C43</f>
        <v>1.0170285714285714</v>
      </c>
      <c r="H43" s="23">
        <f>SUM(H34:H41)</f>
        <v>6014</v>
      </c>
      <c r="I43" s="12"/>
      <c r="J43" s="23">
        <f>SUM(J34:J41)</f>
        <v>9051</v>
      </c>
      <c r="K43" s="10"/>
      <c r="L43" s="23">
        <f>SUM(L34:L41)</f>
        <v>8319</v>
      </c>
      <c r="M43" s="10"/>
      <c r="N43" s="23">
        <f>SUM(N34:N41)</f>
        <v>12231</v>
      </c>
      <c r="O43" s="10"/>
      <c r="P43" s="10"/>
      <c r="Q43" s="10"/>
      <c r="R43" s="10"/>
      <c r="S43" s="10"/>
      <c r="T43" s="10"/>
      <c r="U43" s="13"/>
      <c r="V43" s="13"/>
      <c r="W43" s="13"/>
      <c r="X43" s="13"/>
      <c r="Y43" s="13"/>
      <c r="Z43" s="13"/>
    </row>
    <row r="44" spans="1:26" ht="15.4" x14ac:dyDescent="0.55000000000000004">
      <c r="A44" s="14"/>
      <c r="B44" s="49"/>
      <c r="C44" s="53"/>
      <c r="D44" s="23"/>
      <c r="E44" s="17"/>
      <c r="F44" s="10"/>
      <c r="G44" s="17"/>
      <c r="H44" s="10"/>
      <c r="I44" s="1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3"/>
      <c r="V44" s="13"/>
      <c r="W44" s="13"/>
      <c r="X44" s="13"/>
      <c r="Y44" s="13"/>
      <c r="Z44" s="13"/>
    </row>
    <row r="45" spans="1:26" ht="16.5" customHeight="1" x14ac:dyDescent="0.55000000000000004">
      <c r="A45" s="14"/>
      <c r="B45" s="54" t="s">
        <v>24</v>
      </c>
      <c r="C45" s="50"/>
      <c r="D45" s="23"/>
      <c r="E45" s="17"/>
      <c r="F45" s="10"/>
      <c r="G45" s="17"/>
      <c r="H45" s="10"/>
      <c r="I45" s="1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3"/>
      <c r="V45" s="13"/>
      <c r="W45" s="13"/>
      <c r="X45" s="13"/>
      <c r="Y45" s="13"/>
      <c r="Z45" s="13"/>
    </row>
    <row r="46" spans="1:26" ht="15.4" x14ac:dyDescent="0.55000000000000004">
      <c r="A46" s="14"/>
      <c r="B46" s="49" t="s">
        <v>45</v>
      </c>
      <c r="C46" s="50">
        <v>500</v>
      </c>
      <c r="D46" s="10">
        <v>500</v>
      </c>
      <c r="E46" s="17"/>
      <c r="F46" s="55">
        <v>500</v>
      </c>
      <c r="G46" s="17"/>
      <c r="H46" s="10"/>
      <c r="I46" s="12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3"/>
      <c r="V46" s="13"/>
      <c r="W46" s="13"/>
      <c r="X46" s="13"/>
      <c r="Y46" s="13"/>
      <c r="Z46" s="13"/>
    </row>
    <row r="47" spans="1:26" ht="15.4" x14ac:dyDescent="0.55000000000000004">
      <c r="A47" s="14"/>
      <c r="B47" s="49" t="s">
        <v>25</v>
      </c>
      <c r="C47" s="50">
        <v>1000</v>
      </c>
      <c r="D47" s="10">
        <v>1000</v>
      </c>
      <c r="E47" s="17"/>
      <c r="F47" s="10">
        <v>1000</v>
      </c>
      <c r="G47" s="17"/>
      <c r="H47" s="10"/>
      <c r="I47" s="1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3"/>
      <c r="V47" s="13"/>
      <c r="W47" s="13"/>
      <c r="X47" s="13"/>
      <c r="Y47" s="13"/>
      <c r="Z47" s="13"/>
    </row>
    <row r="48" spans="1:26" ht="15.4" x14ac:dyDescent="0.55000000000000004">
      <c r="A48" s="14"/>
      <c r="B48" s="49" t="s">
        <v>44</v>
      </c>
      <c r="C48" s="50">
        <v>175</v>
      </c>
      <c r="D48" s="10">
        <v>175</v>
      </c>
      <c r="E48" s="17"/>
      <c r="F48" s="10">
        <v>175</v>
      </c>
      <c r="G48" s="17"/>
      <c r="H48" s="10"/>
      <c r="I48" s="12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3"/>
      <c r="V48" s="13"/>
      <c r="W48" s="13"/>
      <c r="X48" s="13"/>
      <c r="Y48" s="13"/>
      <c r="Z48" s="13"/>
    </row>
    <row r="49" spans="1:26" ht="15.4" x14ac:dyDescent="0.55000000000000004">
      <c r="A49" s="26"/>
      <c r="B49" s="49" t="s">
        <v>26</v>
      </c>
      <c r="C49" s="53">
        <f t="shared" ref="C49:D49" si="18">SUM(C46:C48)</f>
        <v>1675</v>
      </c>
      <c r="D49" s="23">
        <f t="shared" si="18"/>
        <v>1675</v>
      </c>
      <c r="E49" s="17"/>
      <c r="F49" s="23">
        <f>D49*2</f>
        <v>3350</v>
      </c>
      <c r="G49" s="17"/>
      <c r="H49" s="10"/>
      <c r="I49" s="12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3"/>
      <c r="V49" s="13"/>
      <c r="W49" s="13"/>
      <c r="X49" s="13"/>
      <c r="Y49" s="13"/>
      <c r="Z49" s="13"/>
    </row>
    <row r="50" spans="1:26" ht="15.4" x14ac:dyDescent="0.55000000000000004">
      <c r="A50" s="56"/>
      <c r="B50" s="33"/>
      <c r="C50" s="57"/>
      <c r="D50" s="35"/>
      <c r="E50" s="36"/>
      <c r="F50" s="35"/>
      <c r="G50" s="36"/>
      <c r="H50" s="35"/>
      <c r="I50" s="37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3"/>
      <c r="V50" s="33"/>
      <c r="W50" s="33"/>
      <c r="X50" s="33"/>
      <c r="Y50" s="33"/>
      <c r="Z50" s="33"/>
    </row>
    <row r="51" spans="1:26" ht="15.4" x14ac:dyDescent="0.55000000000000004">
      <c r="A51" s="58" t="s">
        <v>46</v>
      </c>
      <c r="B51" s="59" t="s">
        <v>47</v>
      </c>
      <c r="C51" s="60">
        <v>1500</v>
      </c>
      <c r="D51" s="10">
        <v>2886.99</v>
      </c>
      <c r="E51" s="11">
        <f>D51/C51</f>
        <v>1.9246599999999998</v>
      </c>
      <c r="F51" s="10">
        <v>4595</v>
      </c>
      <c r="G51" s="11"/>
      <c r="H51" s="10">
        <v>5000</v>
      </c>
      <c r="I51" s="12"/>
      <c r="J51" s="10">
        <v>358</v>
      </c>
      <c r="K51" s="10"/>
      <c r="L51" s="10">
        <v>9912</v>
      </c>
      <c r="M51" s="10"/>
      <c r="N51" s="10">
        <v>1410</v>
      </c>
      <c r="O51" s="10"/>
      <c r="P51" s="10"/>
      <c r="Q51" s="10"/>
      <c r="R51" s="10"/>
      <c r="S51" s="10"/>
      <c r="T51" s="10"/>
      <c r="U51" s="13"/>
      <c r="V51" s="13"/>
      <c r="W51" s="13"/>
      <c r="X51" s="13"/>
      <c r="Y51" s="13"/>
      <c r="Z51" s="13"/>
    </row>
    <row r="52" spans="1:26" ht="15.4" x14ac:dyDescent="0.55000000000000004">
      <c r="A52" s="14"/>
      <c r="B52" s="59" t="s">
        <v>48</v>
      </c>
      <c r="C52" s="61"/>
      <c r="D52" s="16">
        <v>1150</v>
      </c>
      <c r="E52" s="17"/>
      <c r="F52" s="16">
        <v>1994</v>
      </c>
      <c r="G52" s="17"/>
      <c r="H52" s="10">
        <v>4250</v>
      </c>
      <c r="I52" s="12"/>
      <c r="J52" s="10">
        <v>3400</v>
      </c>
      <c r="K52" s="10"/>
      <c r="L52" s="10">
        <v>3400</v>
      </c>
      <c r="M52" s="10"/>
      <c r="N52" s="10"/>
      <c r="O52" s="10"/>
      <c r="P52" s="10"/>
      <c r="Q52" s="10"/>
      <c r="R52" s="10"/>
      <c r="S52" s="10"/>
      <c r="T52" s="10"/>
      <c r="U52" s="13"/>
      <c r="V52" s="13"/>
      <c r="W52" s="13"/>
      <c r="X52" s="13"/>
      <c r="Y52" s="13"/>
      <c r="Z52" s="13"/>
    </row>
    <row r="53" spans="1:26" ht="15.4" x14ac:dyDescent="0.55000000000000004">
      <c r="A53" s="14"/>
      <c r="B53" s="59" t="s">
        <v>49</v>
      </c>
      <c r="C53" s="62">
        <v>2600</v>
      </c>
      <c r="D53" s="19">
        <v>2400</v>
      </c>
      <c r="E53" s="11">
        <f>D53/C53</f>
        <v>0.92307692307692313</v>
      </c>
      <c r="F53" s="10">
        <v>2400</v>
      </c>
      <c r="G53" s="11"/>
      <c r="H53" s="10">
        <v>1800</v>
      </c>
      <c r="I53" s="12"/>
      <c r="J53" s="10">
        <v>1200</v>
      </c>
      <c r="K53" s="10"/>
      <c r="L53" s="10">
        <v>1200</v>
      </c>
      <c r="M53" s="10"/>
      <c r="N53" s="10">
        <v>1800</v>
      </c>
      <c r="O53" s="10"/>
      <c r="P53" s="10"/>
      <c r="Q53" s="10"/>
      <c r="R53" s="10"/>
      <c r="S53" s="10"/>
      <c r="T53" s="10"/>
      <c r="U53" s="13"/>
      <c r="V53" s="13"/>
      <c r="W53" s="13"/>
      <c r="X53" s="13"/>
      <c r="Y53" s="13"/>
      <c r="Z53" s="13"/>
    </row>
    <row r="54" spans="1:26" ht="15.4" x14ac:dyDescent="0.55000000000000004">
      <c r="A54" s="14"/>
      <c r="B54" s="59" t="s">
        <v>50</v>
      </c>
      <c r="C54" s="63"/>
      <c r="D54" s="19">
        <v>0</v>
      </c>
      <c r="E54" s="17"/>
      <c r="F54" s="10">
        <v>0</v>
      </c>
      <c r="G54" s="17"/>
      <c r="H54" s="10">
        <v>0</v>
      </c>
      <c r="I54" s="1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3"/>
      <c r="V54" s="13"/>
      <c r="W54" s="13"/>
      <c r="X54" s="13"/>
      <c r="Y54" s="13"/>
      <c r="Z54" s="13"/>
    </row>
    <row r="55" spans="1:26" ht="15.4" x14ac:dyDescent="0.55000000000000004">
      <c r="A55" s="14"/>
      <c r="B55" s="59" t="s">
        <v>51</v>
      </c>
      <c r="C55" s="62">
        <v>2970</v>
      </c>
      <c r="D55" s="19">
        <v>2924</v>
      </c>
      <c r="E55" s="11">
        <f>D55/C55</f>
        <v>0.98451178451178456</v>
      </c>
      <c r="F55" s="10">
        <v>2880</v>
      </c>
      <c r="G55" s="11"/>
      <c r="H55" s="10">
        <v>2924</v>
      </c>
      <c r="I55" s="12"/>
      <c r="J55" s="10">
        <v>2924</v>
      </c>
      <c r="K55" s="10"/>
      <c r="L55" s="10">
        <v>2924</v>
      </c>
      <c r="M55" s="10"/>
      <c r="N55" s="10">
        <v>2924</v>
      </c>
      <c r="O55" s="10"/>
      <c r="P55" s="10"/>
      <c r="Q55" s="10"/>
      <c r="R55" s="10"/>
      <c r="S55" s="10"/>
      <c r="T55" s="10"/>
      <c r="U55" s="13"/>
      <c r="V55" s="13"/>
      <c r="W55" s="13"/>
      <c r="X55" s="13"/>
      <c r="Y55" s="13"/>
      <c r="Z55" s="13"/>
    </row>
    <row r="56" spans="1:26" ht="15.4" x14ac:dyDescent="0.55000000000000004">
      <c r="A56" s="14"/>
      <c r="B56" s="59" t="s">
        <v>52</v>
      </c>
      <c r="C56" s="63"/>
      <c r="D56" s="19">
        <v>0</v>
      </c>
      <c r="E56" s="17"/>
      <c r="F56" s="16">
        <v>2812</v>
      </c>
      <c r="G56" s="17"/>
      <c r="H56" s="10">
        <v>3396</v>
      </c>
      <c r="I56" s="12"/>
      <c r="J56" s="10"/>
      <c r="K56" s="10"/>
      <c r="L56" s="10">
        <v>5145</v>
      </c>
      <c r="M56" s="10"/>
      <c r="N56" s="10"/>
      <c r="O56" s="10"/>
      <c r="P56" s="10"/>
      <c r="Q56" s="10"/>
      <c r="R56" s="10"/>
      <c r="S56" s="10"/>
      <c r="T56" s="10"/>
      <c r="U56" s="13"/>
      <c r="V56" s="13"/>
      <c r="W56" s="13"/>
      <c r="X56" s="13"/>
      <c r="Y56" s="13"/>
      <c r="Z56" s="13"/>
    </row>
    <row r="57" spans="1:26" ht="15.4" x14ac:dyDescent="0.55000000000000004">
      <c r="A57" s="14"/>
      <c r="B57" s="59" t="s">
        <v>53</v>
      </c>
      <c r="C57" s="62">
        <v>1899</v>
      </c>
      <c r="D57" s="10">
        <v>1899</v>
      </c>
      <c r="E57" s="11">
        <f>D57/C57</f>
        <v>1</v>
      </c>
      <c r="F57" s="10">
        <v>1899</v>
      </c>
      <c r="G57" s="11"/>
      <c r="H57" s="10">
        <v>900</v>
      </c>
      <c r="I57" s="1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3"/>
      <c r="V57" s="13"/>
      <c r="W57" s="13"/>
      <c r="X57" s="13"/>
      <c r="Y57" s="13"/>
      <c r="Z57" s="13"/>
    </row>
    <row r="58" spans="1:26" ht="15.4" x14ac:dyDescent="0.55000000000000004">
      <c r="A58" s="14"/>
      <c r="B58" s="59" t="s">
        <v>54</v>
      </c>
      <c r="C58" s="62">
        <v>1000</v>
      </c>
      <c r="D58" s="23"/>
      <c r="E58" s="17"/>
      <c r="F58" s="10">
        <v>2700</v>
      </c>
      <c r="G58" s="17"/>
      <c r="H58" s="10">
        <v>3200</v>
      </c>
      <c r="I58" s="12"/>
      <c r="J58" s="10">
        <v>2200</v>
      </c>
      <c r="K58" s="10"/>
      <c r="L58" s="10">
        <v>1000</v>
      </c>
      <c r="M58" s="10"/>
      <c r="N58" s="10">
        <v>1000</v>
      </c>
      <c r="O58" s="10"/>
      <c r="P58" s="10"/>
      <c r="Q58" s="10"/>
      <c r="R58" s="10"/>
      <c r="S58" s="10"/>
      <c r="T58" s="10"/>
      <c r="U58" s="13"/>
      <c r="V58" s="13"/>
      <c r="W58" s="13"/>
      <c r="X58" s="13"/>
      <c r="Y58" s="13"/>
      <c r="Z58" s="13"/>
    </row>
    <row r="59" spans="1:26" ht="14.25" customHeight="1" x14ac:dyDescent="0.55000000000000004">
      <c r="A59" s="14"/>
      <c r="B59" s="59" t="s">
        <v>55</v>
      </c>
      <c r="C59" s="64"/>
      <c r="D59" s="23"/>
      <c r="E59" s="17"/>
      <c r="F59" s="23"/>
      <c r="G59" s="17"/>
      <c r="H59" s="10">
        <v>500</v>
      </c>
      <c r="I59" s="1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3"/>
      <c r="V59" s="13"/>
      <c r="W59" s="13"/>
      <c r="X59" s="13"/>
      <c r="Y59" s="13"/>
      <c r="Z59" s="13"/>
    </row>
    <row r="60" spans="1:26" ht="14.25" customHeight="1" x14ac:dyDescent="0.55000000000000004">
      <c r="A60" s="14"/>
      <c r="B60" s="65" t="s">
        <v>23</v>
      </c>
      <c r="C60" s="64">
        <f t="shared" ref="C60:D60" si="19">SUM(C51:C58)</f>
        <v>9969</v>
      </c>
      <c r="D60" s="23">
        <f t="shared" si="19"/>
        <v>11259.99</v>
      </c>
      <c r="E60" s="17"/>
      <c r="F60" s="23">
        <f>SUM(F51:F58)</f>
        <v>19280</v>
      </c>
      <c r="G60" s="17"/>
      <c r="H60" s="23">
        <f>SUM(H51:H59)</f>
        <v>21970</v>
      </c>
      <c r="I60" s="12"/>
      <c r="J60" s="23">
        <f>SUM(J51:J59)</f>
        <v>10082</v>
      </c>
      <c r="K60" s="10"/>
      <c r="L60" s="23">
        <f>SUM(L51:L59)</f>
        <v>23581</v>
      </c>
      <c r="M60" s="10"/>
      <c r="N60" s="23">
        <f>SUM(N51:N59)</f>
        <v>7134</v>
      </c>
      <c r="O60" s="10"/>
      <c r="P60" s="10"/>
      <c r="Q60" s="10"/>
      <c r="R60" s="10"/>
      <c r="S60" s="10"/>
      <c r="T60" s="10"/>
      <c r="U60" s="13"/>
      <c r="V60" s="13"/>
      <c r="W60" s="13"/>
      <c r="X60" s="13"/>
      <c r="Y60" s="13"/>
      <c r="Z60" s="13"/>
    </row>
    <row r="61" spans="1:26" ht="14.25" customHeight="1" x14ac:dyDescent="0.55000000000000004">
      <c r="A61" s="14"/>
      <c r="B61" s="59"/>
      <c r="C61" s="64"/>
      <c r="D61" s="23"/>
      <c r="E61" s="17"/>
      <c r="F61" s="10"/>
      <c r="G61" s="17"/>
      <c r="H61" s="10"/>
      <c r="I61" s="1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3"/>
      <c r="V61" s="13"/>
      <c r="W61" s="13"/>
      <c r="X61" s="13"/>
      <c r="Y61" s="13"/>
      <c r="Z61" s="13"/>
    </row>
    <row r="62" spans="1:26" ht="15.4" x14ac:dyDescent="0.55000000000000004">
      <c r="A62" s="14"/>
      <c r="B62" s="66" t="s">
        <v>24</v>
      </c>
      <c r="C62" s="64"/>
      <c r="D62" s="23"/>
      <c r="E62" s="17"/>
      <c r="F62" s="10"/>
      <c r="G62" s="17"/>
      <c r="H62" s="10"/>
      <c r="I62" s="1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3"/>
      <c r="V62" s="13"/>
      <c r="W62" s="13"/>
      <c r="X62" s="13"/>
      <c r="Y62" s="13"/>
      <c r="Z62" s="13"/>
    </row>
    <row r="63" spans="1:26" ht="15.4" x14ac:dyDescent="0.55000000000000004">
      <c r="A63" s="14"/>
      <c r="B63" s="59" t="s">
        <v>50</v>
      </c>
      <c r="C63" s="62">
        <v>7500</v>
      </c>
      <c r="D63" s="10">
        <v>7500</v>
      </c>
      <c r="E63" s="17"/>
      <c r="F63" s="10">
        <v>7500</v>
      </c>
      <c r="G63" s="17"/>
      <c r="H63" s="10">
        <v>7500</v>
      </c>
      <c r="I63" s="12"/>
      <c r="J63" s="10">
        <v>7500</v>
      </c>
      <c r="K63" s="10"/>
      <c r="L63" s="10">
        <v>7500</v>
      </c>
      <c r="M63" s="10"/>
      <c r="N63" s="10">
        <v>7500</v>
      </c>
      <c r="O63" s="10"/>
      <c r="P63" s="10"/>
      <c r="Q63" s="10"/>
      <c r="R63" s="10"/>
      <c r="S63" s="10"/>
      <c r="T63" s="10"/>
      <c r="U63" s="13"/>
      <c r="V63" s="13"/>
      <c r="W63" s="13"/>
      <c r="X63" s="13"/>
      <c r="Y63" s="13"/>
      <c r="Z63" s="13"/>
    </row>
    <row r="64" spans="1:26" ht="15.4" x14ac:dyDescent="0.55000000000000004">
      <c r="A64" s="14"/>
      <c r="B64" s="59" t="s">
        <v>56</v>
      </c>
      <c r="C64" s="62">
        <v>1000</v>
      </c>
      <c r="D64" s="10">
        <v>1000</v>
      </c>
      <c r="E64" s="17"/>
      <c r="F64" s="10">
        <v>1000</v>
      </c>
      <c r="G64" s="17"/>
      <c r="H64" s="10">
        <v>1000</v>
      </c>
      <c r="I64" s="12"/>
      <c r="J64" s="10">
        <v>1000</v>
      </c>
      <c r="K64" s="10"/>
      <c r="L64" s="10">
        <v>1000</v>
      </c>
      <c r="M64" s="10"/>
      <c r="N64" s="10">
        <v>1000</v>
      </c>
      <c r="O64" s="10"/>
      <c r="P64" s="10"/>
      <c r="Q64" s="10"/>
      <c r="R64" s="10"/>
      <c r="S64" s="10"/>
      <c r="T64" s="10"/>
      <c r="U64" s="13"/>
      <c r="V64" s="13"/>
      <c r="W64" s="13"/>
      <c r="X64" s="13"/>
      <c r="Y64" s="13"/>
      <c r="Z64" s="13"/>
    </row>
    <row r="65" spans="1:26" ht="15.4" x14ac:dyDescent="0.55000000000000004">
      <c r="A65" s="26"/>
      <c r="B65" s="59" t="s">
        <v>48</v>
      </c>
      <c r="C65" s="62">
        <v>1500</v>
      </c>
      <c r="D65" s="10">
        <v>1500</v>
      </c>
      <c r="E65" s="17"/>
      <c r="F65" s="10">
        <v>1500</v>
      </c>
      <c r="G65" s="17"/>
      <c r="H65" s="10">
        <v>1500</v>
      </c>
      <c r="I65" s="12"/>
      <c r="J65" s="10">
        <v>1500</v>
      </c>
      <c r="K65" s="10"/>
      <c r="L65" s="10">
        <v>1500</v>
      </c>
      <c r="M65" s="10"/>
      <c r="N65" s="10">
        <v>1500</v>
      </c>
      <c r="O65" s="10"/>
      <c r="P65" s="10"/>
      <c r="Q65" s="10"/>
      <c r="R65" s="10"/>
      <c r="S65" s="10"/>
      <c r="T65" s="10"/>
      <c r="U65" s="13"/>
      <c r="V65" s="13"/>
      <c r="W65" s="13"/>
      <c r="X65" s="13"/>
      <c r="Y65" s="13"/>
      <c r="Z65" s="13"/>
    </row>
    <row r="66" spans="1:26" ht="15.4" x14ac:dyDescent="0.55000000000000004">
      <c r="A66" s="67"/>
      <c r="B66" s="66" t="s">
        <v>26</v>
      </c>
      <c r="C66" s="68">
        <f t="shared" ref="C66:D66" si="20">SUM(C63:C65)</f>
        <v>10000</v>
      </c>
      <c r="D66" s="22">
        <f t="shared" si="20"/>
        <v>10000</v>
      </c>
      <c r="E66" s="17"/>
      <c r="F66" s="23">
        <f>D66*2</f>
        <v>20000</v>
      </c>
      <c r="G66" s="17"/>
      <c r="H66" s="23">
        <f>C66*3</f>
        <v>30000</v>
      </c>
      <c r="I66" s="12"/>
      <c r="J66" s="23">
        <f>C66*4</f>
        <v>40000</v>
      </c>
      <c r="K66" s="23"/>
      <c r="L66" s="23">
        <f>C66*5</f>
        <v>50000</v>
      </c>
      <c r="M66" s="23"/>
      <c r="N66" s="23">
        <f>C66*6</f>
        <v>60000</v>
      </c>
      <c r="O66" s="10"/>
      <c r="P66" s="10"/>
      <c r="Q66" s="10"/>
      <c r="R66" s="10"/>
      <c r="S66" s="10"/>
      <c r="T66" s="10"/>
      <c r="U66" s="13"/>
      <c r="V66" s="13"/>
      <c r="W66" s="13"/>
      <c r="X66" s="13"/>
      <c r="Y66" s="13"/>
      <c r="Z66" s="13"/>
    </row>
    <row r="67" spans="1:26" ht="15.4" x14ac:dyDescent="0.55000000000000004">
      <c r="A67" s="69"/>
      <c r="B67" s="33"/>
      <c r="C67" s="34"/>
      <c r="D67" s="35"/>
      <c r="E67" s="36"/>
      <c r="F67" s="35"/>
      <c r="G67" s="36"/>
      <c r="H67" s="35"/>
      <c r="I67" s="37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3"/>
      <c r="V67" s="33"/>
      <c r="W67" s="33"/>
      <c r="X67" s="33"/>
      <c r="Y67" s="33"/>
      <c r="Z67" s="33"/>
    </row>
    <row r="68" spans="1:26" ht="15.4" x14ac:dyDescent="0.55000000000000004">
      <c r="A68" s="70" t="s">
        <v>57</v>
      </c>
      <c r="B68" s="71" t="s">
        <v>58</v>
      </c>
      <c r="C68" s="72">
        <v>300</v>
      </c>
      <c r="D68" s="10">
        <v>0</v>
      </c>
      <c r="E68" s="73">
        <f t="shared" ref="E68:E69" si="21">D68/C68</f>
        <v>0</v>
      </c>
      <c r="F68" s="10">
        <v>250</v>
      </c>
      <c r="G68" s="73"/>
      <c r="H68" s="10">
        <v>213</v>
      </c>
      <c r="I68" s="12"/>
      <c r="J68" s="10">
        <v>0</v>
      </c>
      <c r="K68" s="10"/>
      <c r="L68" s="10">
        <v>250</v>
      </c>
      <c r="M68" s="10"/>
      <c r="N68" s="10">
        <v>130</v>
      </c>
      <c r="O68" s="10"/>
      <c r="P68" s="10"/>
      <c r="Q68" s="10"/>
      <c r="R68" s="10"/>
      <c r="S68" s="10"/>
      <c r="T68" s="10"/>
      <c r="U68" s="13"/>
      <c r="V68" s="13"/>
      <c r="W68" s="13"/>
      <c r="X68" s="13"/>
      <c r="Y68" s="13"/>
      <c r="Z68" s="13"/>
    </row>
    <row r="69" spans="1:26" ht="15.4" x14ac:dyDescent="0.55000000000000004">
      <c r="A69" s="14"/>
      <c r="B69" s="71" t="s">
        <v>59</v>
      </c>
      <c r="C69" s="72">
        <v>600</v>
      </c>
      <c r="D69" s="10">
        <v>580</v>
      </c>
      <c r="E69" s="73">
        <f t="shared" si="21"/>
        <v>0.96666666666666667</v>
      </c>
      <c r="F69" s="10">
        <v>580</v>
      </c>
      <c r="G69" s="73"/>
      <c r="H69" s="10">
        <v>580</v>
      </c>
      <c r="I69" s="12"/>
      <c r="J69" s="10">
        <v>600</v>
      </c>
      <c r="K69" s="10"/>
      <c r="L69" s="10">
        <v>600</v>
      </c>
      <c r="M69" s="10"/>
      <c r="N69" s="10">
        <v>600</v>
      </c>
      <c r="O69" s="10"/>
      <c r="P69" s="10"/>
      <c r="Q69" s="10"/>
      <c r="R69" s="10"/>
      <c r="S69" s="10"/>
      <c r="T69" s="10"/>
      <c r="U69" s="13"/>
      <c r="V69" s="13"/>
      <c r="W69" s="13"/>
      <c r="X69" s="13"/>
      <c r="Y69" s="13"/>
      <c r="Z69" s="13"/>
    </row>
    <row r="70" spans="1:26" ht="15.4" x14ac:dyDescent="0.55000000000000004">
      <c r="A70" s="14"/>
      <c r="B70" s="71" t="s">
        <v>60</v>
      </c>
      <c r="C70" s="74"/>
      <c r="D70" s="19">
        <v>0</v>
      </c>
      <c r="E70" s="73"/>
      <c r="F70" s="10">
        <v>0</v>
      </c>
      <c r="G70" s="73"/>
      <c r="H70" s="10">
        <v>0</v>
      </c>
      <c r="I70" s="12"/>
      <c r="J70" s="10">
        <v>0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3"/>
      <c r="V70" s="13"/>
      <c r="W70" s="13"/>
      <c r="X70" s="13"/>
      <c r="Y70" s="13"/>
      <c r="Z70" s="13"/>
    </row>
    <row r="71" spans="1:26" ht="15.4" x14ac:dyDescent="0.55000000000000004">
      <c r="A71" s="14"/>
      <c r="B71" s="71" t="s">
        <v>61</v>
      </c>
      <c r="C71" s="72">
        <v>1000</v>
      </c>
      <c r="D71" s="10">
        <v>1013</v>
      </c>
      <c r="E71" s="73">
        <f t="shared" ref="E71:E72" si="22">D71/C71</f>
        <v>1.0129999999999999</v>
      </c>
      <c r="F71" s="10">
        <v>264</v>
      </c>
      <c r="G71" s="73"/>
      <c r="H71" s="10">
        <v>680</v>
      </c>
      <c r="I71" s="12"/>
      <c r="J71" s="10">
        <v>1582</v>
      </c>
      <c r="K71" s="10"/>
      <c r="L71" s="10">
        <v>530</v>
      </c>
      <c r="M71" s="10"/>
      <c r="N71" s="10"/>
      <c r="O71" s="10"/>
      <c r="P71" s="10"/>
      <c r="Q71" s="10"/>
      <c r="R71" s="10"/>
      <c r="S71" s="10"/>
      <c r="T71" s="10"/>
      <c r="U71" s="13"/>
      <c r="V71" s="13"/>
      <c r="W71" s="13"/>
      <c r="X71" s="13"/>
      <c r="Y71" s="13"/>
      <c r="Z71" s="13"/>
    </row>
    <row r="72" spans="1:26" ht="15.4" x14ac:dyDescent="0.55000000000000004">
      <c r="A72" s="14"/>
      <c r="B72" s="71" t="s">
        <v>62</v>
      </c>
      <c r="C72" s="72">
        <v>2000</v>
      </c>
      <c r="D72" s="10">
        <v>780</v>
      </c>
      <c r="E72" s="73">
        <f t="shared" si="22"/>
        <v>0.39</v>
      </c>
      <c r="F72" s="10">
        <v>554</v>
      </c>
      <c r="G72" s="73"/>
      <c r="H72" s="10">
        <v>8370</v>
      </c>
      <c r="I72" s="12"/>
      <c r="J72" s="10">
        <v>3650</v>
      </c>
      <c r="K72" s="10"/>
      <c r="L72" s="10">
        <v>3585</v>
      </c>
      <c r="M72" s="10"/>
      <c r="N72" s="10">
        <v>3076</v>
      </c>
      <c r="O72" s="10"/>
      <c r="P72" s="10"/>
      <c r="Q72" s="10"/>
      <c r="R72" s="10"/>
      <c r="S72" s="10"/>
      <c r="T72" s="10"/>
      <c r="U72" s="13"/>
      <c r="V72" s="13"/>
      <c r="W72" s="13"/>
      <c r="X72" s="13"/>
      <c r="Y72" s="13"/>
      <c r="Z72" s="13"/>
    </row>
    <row r="73" spans="1:26" ht="15.4" x14ac:dyDescent="0.55000000000000004">
      <c r="A73" s="14"/>
      <c r="B73" s="75" t="s">
        <v>23</v>
      </c>
      <c r="C73" s="74">
        <f t="shared" ref="C73:D73" si="23">SUM(C68:C72)</f>
        <v>3900</v>
      </c>
      <c r="D73" s="23">
        <f t="shared" si="23"/>
        <v>2373</v>
      </c>
      <c r="E73" s="73"/>
      <c r="F73" s="23">
        <f>SUM(F68:F72)</f>
        <v>1648</v>
      </c>
      <c r="G73" s="73"/>
      <c r="H73" s="23">
        <f>SUM(H68:H72)</f>
        <v>9843</v>
      </c>
      <c r="I73" s="12"/>
      <c r="J73" s="23">
        <f>SUM(J68:J72)</f>
        <v>5832</v>
      </c>
      <c r="K73" s="10"/>
      <c r="L73" s="23">
        <f>SUM(L68:L72)</f>
        <v>4965</v>
      </c>
      <c r="M73" s="10"/>
      <c r="N73" s="23">
        <v>3200</v>
      </c>
      <c r="O73" s="10"/>
      <c r="P73" s="10"/>
      <c r="Q73" s="10"/>
      <c r="R73" s="10"/>
      <c r="S73" s="10"/>
      <c r="T73" s="10"/>
      <c r="U73" s="13"/>
      <c r="V73" s="13"/>
      <c r="W73" s="13"/>
      <c r="X73" s="13"/>
      <c r="Y73" s="13"/>
      <c r="Z73" s="13"/>
    </row>
    <row r="74" spans="1:26" ht="15.4" x14ac:dyDescent="0.55000000000000004">
      <c r="A74" s="14"/>
      <c r="B74" s="71"/>
      <c r="C74" s="74"/>
      <c r="D74" s="23"/>
      <c r="E74" s="73"/>
      <c r="F74" s="10"/>
      <c r="G74" s="73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3"/>
      <c r="V74" s="13"/>
      <c r="W74" s="13"/>
      <c r="X74" s="13"/>
      <c r="Y74" s="13"/>
      <c r="Z74" s="13"/>
    </row>
    <row r="75" spans="1:26" ht="15.4" x14ac:dyDescent="0.55000000000000004">
      <c r="A75" s="14"/>
      <c r="B75" s="76" t="s">
        <v>24</v>
      </c>
      <c r="C75" s="74"/>
      <c r="D75" s="23"/>
      <c r="E75" s="73"/>
      <c r="F75" s="10"/>
      <c r="G75" s="73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3"/>
      <c r="V75" s="13"/>
      <c r="W75" s="13"/>
      <c r="X75" s="13"/>
      <c r="Y75" s="13"/>
      <c r="Z75" s="13"/>
    </row>
    <row r="76" spans="1:26" ht="15.4" x14ac:dyDescent="0.55000000000000004">
      <c r="A76" s="26"/>
      <c r="B76" s="71" t="s">
        <v>60</v>
      </c>
      <c r="C76" s="72">
        <v>250</v>
      </c>
      <c r="D76" s="10">
        <v>250</v>
      </c>
      <c r="E76" s="73"/>
      <c r="F76" s="10">
        <v>250</v>
      </c>
      <c r="G76" s="73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3"/>
      <c r="V76" s="13"/>
      <c r="W76" s="13"/>
      <c r="X76" s="13"/>
      <c r="Y76" s="13"/>
      <c r="Z76" s="13"/>
    </row>
    <row r="77" spans="1:26" ht="15.4" x14ac:dyDescent="0.55000000000000004">
      <c r="A77" s="77"/>
      <c r="B77" s="76" t="s">
        <v>26</v>
      </c>
      <c r="C77" s="74">
        <v>250</v>
      </c>
      <c r="D77" s="22">
        <v>250</v>
      </c>
      <c r="E77" s="11"/>
      <c r="F77" s="22">
        <f>D77*2</f>
        <v>500</v>
      </c>
      <c r="G77" s="1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3"/>
      <c r="V77" s="13"/>
      <c r="W77" s="13"/>
      <c r="X77" s="13"/>
      <c r="Y77" s="13"/>
      <c r="Z77" s="13"/>
    </row>
    <row r="78" spans="1:26" ht="15.4" x14ac:dyDescent="0.55000000000000004">
      <c r="A78" s="32"/>
      <c r="B78" s="33"/>
      <c r="C78" s="34"/>
      <c r="D78" s="35"/>
      <c r="E78" s="36"/>
      <c r="F78" s="35"/>
      <c r="G78" s="36"/>
      <c r="H78" s="35"/>
      <c r="I78" s="35"/>
      <c r="J78" s="35"/>
      <c r="K78" s="35"/>
      <c r="L78" s="78"/>
      <c r="M78" s="35"/>
      <c r="N78" s="35"/>
      <c r="O78" s="35"/>
      <c r="P78" s="35"/>
      <c r="Q78" s="35"/>
      <c r="R78" s="35"/>
      <c r="S78" s="35"/>
      <c r="T78" s="35"/>
      <c r="U78" s="33"/>
      <c r="V78" s="33"/>
      <c r="W78" s="33"/>
      <c r="X78" s="33"/>
      <c r="Y78" s="33"/>
      <c r="Z78" s="33"/>
    </row>
    <row r="79" spans="1:26" ht="15.4" x14ac:dyDescent="0.55000000000000004">
      <c r="A79" s="79" t="s">
        <v>63</v>
      </c>
      <c r="B79" s="80" t="s">
        <v>64</v>
      </c>
      <c r="C79" s="81">
        <v>10000</v>
      </c>
      <c r="D79" s="10">
        <f>8799+2259+315</f>
        <v>11373</v>
      </c>
      <c r="E79" s="11">
        <f t="shared" ref="E79:E81" si="24">D79/C79</f>
        <v>1.1373</v>
      </c>
      <c r="F79" s="10">
        <f>4802+1277+99</f>
        <v>6178</v>
      </c>
      <c r="G79" s="11"/>
      <c r="H79" s="10">
        <f>7850+2234+504</f>
        <v>10588</v>
      </c>
      <c r="I79" s="10"/>
      <c r="J79" s="10">
        <f>10923+1286</f>
        <v>12209</v>
      </c>
      <c r="K79" s="10"/>
      <c r="L79" s="10">
        <f>11907+1903</f>
        <v>13810</v>
      </c>
      <c r="M79" s="10"/>
      <c r="N79" s="10">
        <f>10152+1508</f>
        <v>11660</v>
      </c>
      <c r="O79" s="10"/>
      <c r="P79" s="10"/>
      <c r="Q79" s="10"/>
      <c r="R79" s="10"/>
      <c r="S79" s="10"/>
      <c r="T79" s="10"/>
      <c r="U79" s="13"/>
      <c r="V79" s="13"/>
      <c r="W79" s="13"/>
      <c r="X79" s="13"/>
      <c r="Y79" s="13"/>
      <c r="Z79" s="13"/>
    </row>
    <row r="80" spans="1:26" ht="15.4" x14ac:dyDescent="0.55000000000000004">
      <c r="A80" s="14"/>
      <c r="B80" s="80" t="s">
        <v>65</v>
      </c>
      <c r="C80" s="82">
        <v>600</v>
      </c>
      <c r="D80" s="10">
        <v>0</v>
      </c>
      <c r="E80" s="11">
        <f t="shared" si="24"/>
        <v>0</v>
      </c>
      <c r="F80" s="10">
        <v>295</v>
      </c>
      <c r="G80" s="11"/>
      <c r="H80" s="10">
        <v>460</v>
      </c>
      <c r="I80" s="10"/>
      <c r="J80" s="10">
        <v>0</v>
      </c>
      <c r="K80" s="10"/>
      <c r="L80" s="10">
        <v>188</v>
      </c>
      <c r="M80" s="10"/>
      <c r="N80" s="10"/>
      <c r="O80" s="10"/>
      <c r="P80" s="10"/>
      <c r="Q80" s="10"/>
      <c r="R80" s="10"/>
      <c r="S80" s="10"/>
      <c r="T80" s="10"/>
      <c r="U80" s="13"/>
      <c r="V80" s="13"/>
      <c r="W80" s="13"/>
      <c r="X80" s="13"/>
      <c r="Y80" s="13"/>
      <c r="Z80" s="13"/>
    </row>
    <row r="81" spans="1:26" ht="15.4" x14ac:dyDescent="0.55000000000000004">
      <c r="A81" s="14"/>
      <c r="B81" s="80" t="s">
        <v>66</v>
      </c>
      <c r="C81" s="82">
        <v>800</v>
      </c>
      <c r="D81" s="10">
        <v>794</v>
      </c>
      <c r="E81" s="11">
        <f t="shared" si="24"/>
        <v>0.99250000000000005</v>
      </c>
      <c r="F81" s="10">
        <v>1476</v>
      </c>
      <c r="G81" s="11"/>
      <c r="H81" s="10">
        <v>1319</v>
      </c>
      <c r="I81" s="10"/>
      <c r="J81" s="10">
        <v>682</v>
      </c>
      <c r="K81" s="10"/>
      <c r="L81" s="10">
        <v>794</v>
      </c>
      <c r="M81" s="10"/>
      <c r="N81" s="10">
        <v>2085</v>
      </c>
      <c r="O81" s="10"/>
      <c r="P81" s="10"/>
      <c r="Q81" s="10"/>
      <c r="R81" s="10"/>
      <c r="S81" s="10"/>
      <c r="T81" s="10"/>
      <c r="U81" s="13"/>
      <c r="V81" s="13"/>
      <c r="W81" s="13"/>
      <c r="X81" s="13"/>
      <c r="Y81" s="13"/>
      <c r="Z81" s="13"/>
    </row>
    <row r="82" spans="1:26" ht="15.4" x14ac:dyDescent="0.55000000000000004">
      <c r="A82" s="14"/>
      <c r="B82" s="80" t="s">
        <v>67</v>
      </c>
      <c r="C82" s="82"/>
      <c r="D82" s="10"/>
      <c r="E82" s="11"/>
      <c r="F82" s="10"/>
      <c r="G82" s="11"/>
      <c r="H82" s="10"/>
      <c r="I82" s="10"/>
      <c r="J82" s="10">
        <v>926</v>
      </c>
      <c r="K82" s="10"/>
      <c r="L82" s="10">
        <v>238</v>
      </c>
      <c r="M82" s="10"/>
      <c r="N82" s="10">
        <v>510</v>
      </c>
      <c r="O82" s="10"/>
      <c r="P82" s="10"/>
      <c r="Q82" s="10"/>
      <c r="R82" s="10"/>
      <c r="S82" s="10"/>
      <c r="T82" s="10"/>
      <c r="U82" s="13"/>
      <c r="V82" s="13"/>
      <c r="W82" s="13"/>
      <c r="X82" s="13"/>
      <c r="Y82" s="13"/>
      <c r="Z82" s="13"/>
    </row>
    <row r="83" spans="1:26" ht="15.4" x14ac:dyDescent="0.55000000000000004">
      <c r="A83" s="14"/>
      <c r="B83" s="80" t="s">
        <v>68</v>
      </c>
      <c r="C83" s="82">
        <v>500</v>
      </c>
      <c r="D83" s="10">
        <v>660</v>
      </c>
      <c r="E83" s="11">
        <f>D83/C83</f>
        <v>1.32</v>
      </c>
      <c r="F83" s="10">
        <v>0</v>
      </c>
      <c r="G83" s="11"/>
      <c r="H83" s="10">
        <v>0</v>
      </c>
      <c r="I83" s="10"/>
      <c r="J83" s="10"/>
      <c r="K83" s="10"/>
      <c r="L83" s="10"/>
      <c r="M83" s="10"/>
      <c r="N83" s="10">
        <v>300</v>
      </c>
      <c r="O83" s="10"/>
      <c r="P83" s="10"/>
      <c r="Q83" s="10"/>
      <c r="R83" s="10"/>
      <c r="S83" s="10"/>
      <c r="T83" s="10"/>
      <c r="U83" s="13"/>
      <c r="V83" s="13"/>
      <c r="W83" s="13"/>
      <c r="X83" s="13"/>
      <c r="Y83" s="13"/>
      <c r="Z83" s="13"/>
    </row>
    <row r="84" spans="1:26" ht="15.4" x14ac:dyDescent="0.55000000000000004">
      <c r="A84" s="14"/>
      <c r="B84" s="80" t="s">
        <v>69</v>
      </c>
      <c r="C84" s="82">
        <v>1000</v>
      </c>
      <c r="D84" s="10">
        <v>0</v>
      </c>
      <c r="E84" s="11">
        <v>0</v>
      </c>
      <c r="F84" s="10">
        <v>200</v>
      </c>
      <c r="G84" s="11"/>
      <c r="H84" s="10">
        <v>550</v>
      </c>
      <c r="I84" s="10"/>
      <c r="J84" s="10">
        <v>230</v>
      </c>
      <c r="K84" s="10"/>
      <c r="L84" s="10"/>
      <c r="M84" s="10"/>
      <c r="N84" s="10">
        <v>510</v>
      </c>
      <c r="O84" s="10"/>
      <c r="P84" s="10"/>
      <c r="Q84" s="10"/>
      <c r="R84" s="10"/>
      <c r="S84" s="10"/>
      <c r="T84" s="10"/>
      <c r="U84" s="13"/>
      <c r="V84" s="13"/>
      <c r="W84" s="13"/>
      <c r="X84" s="13"/>
      <c r="Y84" s="13"/>
      <c r="Z84" s="13"/>
    </row>
    <row r="85" spans="1:26" ht="15.4" x14ac:dyDescent="0.55000000000000004">
      <c r="A85" s="14"/>
      <c r="B85" s="80" t="s">
        <v>70</v>
      </c>
      <c r="C85" s="82"/>
      <c r="D85" s="10"/>
      <c r="E85" s="11"/>
      <c r="F85" s="16">
        <v>700</v>
      </c>
      <c r="G85" s="11"/>
      <c r="H85" s="10">
        <v>0</v>
      </c>
      <c r="I85" s="10"/>
      <c r="J85" s="10">
        <v>700</v>
      </c>
      <c r="K85" s="10"/>
      <c r="L85" s="10">
        <v>700</v>
      </c>
      <c r="M85" s="10"/>
      <c r="N85" s="10"/>
      <c r="O85" s="10"/>
      <c r="P85" s="10"/>
      <c r="Q85" s="10"/>
      <c r="R85" s="10"/>
      <c r="S85" s="10"/>
      <c r="T85" s="10"/>
      <c r="U85" s="13"/>
      <c r="V85" s="13"/>
      <c r="W85" s="13"/>
      <c r="X85" s="13"/>
      <c r="Y85" s="13"/>
      <c r="Z85" s="13"/>
    </row>
    <row r="86" spans="1:26" ht="15.4" x14ac:dyDescent="0.55000000000000004">
      <c r="A86" s="14"/>
      <c r="B86" s="80" t="s">
        <v>71</v>
      </c>
      <c r="C86" s="83"/>
      <c r="D86" s="23"/>
      <c r="E86" s="17"/>
      <c r="F86" s="23"/>
      <c r="G86" s="17"/>
      <c r="H86" s="10">
        <v>300</v>
      </c>
      <c r="I86" s="10"/>
      <c r="J86" s="10">
        <v>475</v>
      </c>
      <c r="K86" s="10"/>
      <c r="L86" s="10"/>
      <c r="M86" s="10"/>
      <c r="N86" s="10">
        <v>250</v>
      </c>
      <c r="O86" s="10"/>
      <c r="P86" s="10"/>
      <c r="Q86" s="10"/>
      <c r="R86" s="10"/>
      <c r="S86" s="10"/>
      <c r="T86" s="10"/>
      <c r="U86" s="13"/>
      <c r="V86" s="13"/>
      <c r="W86" s="13"/>
      <c r="X86" s="13"/>
      <c r="Y86" s="13"/>
      <c r="Z86" s="13"/>
    </row>
    <row r="87" spans="1:26" ht="15.4" x14ac:dyDescent="0.55000000000000004">
      <c r="A87" s="14"/>
      <c r="B87" s="84" t="s">
        <v>23</v>
      </c>
      <c r="C87" s="83">
        <f t="shared" ref="C87:D87" si="25">SUM(C79:C85)</f>
        <v>12900</v>
      </c>
      <c r="D87" s="23">
        <f t="shared" si="25"/>
        <v>12827</v>
      </c>
      <c r="E87" s="17"/>
      <c r="F87" s="23">
        <f>SUM(F78:F85)</f>
        <v>8849</v>
      </c>
      <c r="G87" s="17"/>
      <c r="H87" s="23">
        <f>SUM(H78:H86)</f>
        <v>13217</v>
      </c>
      <c r="I87" s="10"/>
      <c r="J87" s="23">
        <f>SUM(J78:J86)</f>
        <v>15222</v>
      </c>
      <c r="K87" s="10"/>
      <c r="L87" s="23">
        <f>SUM(L78:L86)</f>
        <v>15730</v>
      </c>
      <c r="M87" s="10"/>
      <c r="N87" s="23">
        <f>SUM(N78:N86)</f>
        <v>15315</v>
      </c>
      <c r="O87" s="10"/>
      <c r="P87" s="10"/>
      <c r="Q87" s="10"/>
      <c r="R87" s="10"/>
      <c r="S87" s="10"/>
      <c r="T87" s="10"/>
      <c r="U87" s="13"/>
      <c r="V87" s="13"/>
      <c r="W87" s="13"/>
      <c r="X87" s="13"/>
      <c r="Y87" s="13"/>
      <c r="Z87" s="13"/>
    </row>
    <row r="88" spans="1:26" ht="15.4" x14ac:dyDescent="0.55000000000000004">
      <c r="A88" s="14"/>
      <c r="B88" s="84"/>
      <c r="C88" s="83"/>
      <c r="D88" s="23"/>
      <c r="E88" s="17"/>
      <c r="F88" s="10"/>
      <c r="G88" s="17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3"/>
      <c r="V88" s="13"/>
      <c r="W88" s="13"/>
      <c r="X88" s="13"/>
      <c r="Y88" s="13"/>
      <c r="Z88" s="13"/>
    </row>
    <row r="89" spans="1:26" ht="15.4" x14ac:dyDescent="0.55000000000000004">
      <c r="A89" s="14"/>
      <c r="B89" s="85" t="s">
        <v>24</v>
      </c>
      <c r="C89" s="83"/>
      <c r="D89" s="23"/>
      <c r="E89" s="17"/>
      <c r="F89" s="10"/>
      <c r="G89" s="17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3"/>
      <c r="V89" s="13"/>
      <c r="W89" s="13"/>
      <c r="X89" s="13"/>
      <c r="Y89" s="13"/>
      <c r="Z89" s="13"/>
    </row>
    <row r="90" spans="1:26" ht="15.4" x14ac:dyDescent="0.55000000000000004">
      <c r="A90" s="26"/>
      <c r="B90" s="80" t="s">
        <v>70</v>
      </c>
      <c r="C90" s="81">
        <v>250</v>
      </c>
      <c r="D90" s="10">
        <v>250</v>
      </c>
      <c r="E90" s="17"/>
      <c r="F90" s="55">
        <v>250</v>
      </c>
      <c r="G90" s="17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3"/>
      <c r="V90" s="13"/>
      <c r="W90" s="13"/>
      <c r="X90" s="13"/>
      <c r="Y90" s="13"/>
      <c r="Z90" s="13"/>
    </row>
    <row r="91" spans="1:26" ht="15.4" x14ac:dyDescent="0.55000000000000004">
      <c r="A91" s="86"/>
      <c r="B91" s="85" t="s">
        <v>26</v>
      </c>
      <c r="C91" s="83">
        <f>C90</f>
        <v>250</v>
      </c>
      <c r="D91" s="22">
        <v>250</v>
      </c>
      <c r="E91" s="17"/>
      <c r="F91" s="23">
        <f>D91*2</f>
        <v>500</v>
      </c>
      <c r="G91" s="17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3"/>
      <c r="V91" s="13"/>
      <c r="W91" s="13"/>
      <c r="X91" s="13"/>
      <c r="Y91" s="13"/>
      <c r="Z91" s="13"/>
    </row>
    <row r="92" spans="1:26" ht="15.4" x14ac:dyDescent="0.55000000000000004">
      <c r="A92" s="32"/>
      <c r="B92" s="87"/>
      <c r="C92" s="88"/>
      <c r="D92" s="35"/>
      <c r="E92" s="36"/>
      <c r="F92" s="35"/>
      <c r="G92" s="36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3"/>
      <c r="V92" s="33"/>
      <c r="W92" s="33"/>
      <c r="X92" s="33"/>
      <c r="Y92" s="33"/>
      <c r="Z92" s="33"/>
    </row>
    <row r="93" spans="1:26" ht="15.4" x14ac:dyDescent="0.55000000000000004">
      <c r="A93" s="89"/>
      <c r="B93" s="90" t="s">
        <v>24</v>
      </c>
      <c r="C93" s="91"/>
      <c r="D93" s="92"/>
      <c r="E93" s="93"/>
      <c r="F93" s="94"/>
      <c r="G93" s="93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6"/>
      <c r="V93" s="6"/>
      <c r="W93" s="6"/>
      <c r="X93" s="6"/>
      <c r="Y93" s="6"/>
      <c r="Z93" s="6"/>
    </row>
    <row r="94" spans="1:26" ht="15.4" x14ac:dyDescent="0.55000000000000004">
      <c r="A94" s="95" t="s">
        <v>72</v>
      </c>
      <c r="B94" s="91" t="s">
        <v>73</v>
      </c>
      <c r="C94" s="96">
        <v>2400</v>
      </c>
      <c r="D94" s="19">
        <v>2400</v>
      </c>
      <c r="E94" s="11"/>
      <c r="F94" s="19">
        <v>2400</v>
      </c>
      <c r="G94" s="11"/>
      <c r="H94" s="19">
        <v>2400</v>
      </c>
      <c r="I94" s="10"/>
      <c r="J94" s="19">
        <v>2400</v>
      </c>
      <c r="K94" s="10"/>
      <c r="L94" s="19">
        <v>2400</v>
      </c>
      <c r="M94" s="10"/>
      <c r="N94" s="19">
        <v>2400</v>
      </c>
      <c r="O94" s="10"/>
      <c r="P94" s="10"/>
      <c r="Q94" s="10"/>
      <c r="R94" s="10"/>
      <c r="S94" s="10"/>
      <c r="T94" s="10"/>
      <c r="U94" s="13"/>
      <c r="V94" s="13"/>
      <c r="W94" s="13"/>
      <c r="X94" s="13"/>
      <c r="Y94" s="13"/>
      <c r="Z94" s="13"/>
    </row>
    <row r="95" spans="1:26" ht="15.4" x14ac:dyDescent="0.55000000000000004">
      <c r="A95" s="14"/>
      <c r="B95" s="91" t="s">
        <v>74</v>
      </c>
      <c r="C95" s="96">
        <v>650</v>
      </c>
      <c r="D95" s="19">
        <v>650</v>
      </c>
      <c r="E95" s="11"/>
      <c r="F95" s="19">
        <v>650</v>
      </c>
      <c r="G95" s="11"/>
      <c r="H95" s="19">
        <v>650</v>
      </c>
      <c r="I95" s="10"/>
      <c r="J95" s="19">
        <v>650</v>
      </c>
      <c r="K95" s="10"/>
      <c r="L95" s="19">
        <v>650</v>
      </c>
      <c r="M95" s="10"/>
      <c r="N95" s="19">
        <v>650</v>
      </c>
      <c r="O95" s="10"/>
      <c r="P95" s="10"/>
      <c r="Q95" s="10"/>
      <c r="R95" s="10"/>
      <c r="S95" s="10"/>
      <c r="T95" s="10"/>
      <c r="U95" s="13"/>
      <c r="V95" s="13"/>
      <c r="W95" s="13"/>
      <c r="X95" s="13"/>
      <c r="Y95" s="13"/>
      <c r="Z95" s="13"/>
    </row>
    <row r="96" spans="1:26" ht="15.4" x14ac:dyDescent="0.55000000000000004">
      <c r="A96" s="14"/>
      <c r="B96" s="91" t="s">
        <v>75</v>
      </c>
      <c r="C96" s="96">
        <v>500</v>
      </c>
      <c r="D96" s="19">
        <v>500</v>
      </c>
      <c r="E96" s="11"/>
      <c r="F96" s="19">
        <v>500</v>
      </c>
      <c r="G96" s="11"/>
      <c r="H96" s="19">
        <v>500</v>
      </c>
      <c r="I96" s="10"/>
      <c r="J96" s="19">
        <v>500</v>
      </c>
      <c r="K96" s="10"/>
      <c r="L96" s="19">
        <v>500</v>
      </c>
      <c r="M96" s="10"/>
      <c r="N96" s="19">
        <v>500</v>
      </c>
      <c r="O96" s="10"/>
      <c r="P96" s="10"/>
      <c r="Q96" s="10"/>
      <c r="R96" s="10"/>
      <c r="S96" s="10"/>
      <c r="T96" s="10"/>
      <c r="U96" s="13"/>
      <c r="V96" s="13"/>
      <c r="W96" s="13"/>
      <c r="X96" s="13"/>
      <c r="Y96" s="13"/>
      <c r="Z96" s="13"/>
    </row>
    <row r="97" spans="1:26" ht="15.4" x14ac:dyDescent="0.55000000000000004">
      <c r="A97" s="14"/>
      <c r="B97" s="91" t="s">
        <v>76</v>
      </c>
      <c r="C97" s="96">
        <v>200</v>
      </c>
      <c r="D97" s="19">
        <v>200</v>
      </c>
      <c r="E97" s="11"/>
      <c r="F97" s="19">
        <v>200</v>
      </c>
      <c r="G97" s="11"/>
      <c r="H97" s="19">
        <v>200</v>
      </c>
      <c r="I97" s="10"/>
      <c r="J97" s="19">
        <v>200</v>
      </c>
      <c r="K97" s="10"/>
      <c r="L97" s="19">
        <v>200</v>
      </c>
      <c r="M97" s="10"/>
      <c r="N97" s="19">
        <v>200</v>
      </c>
      <c r="O97" s="10"/>
      <c r="P97" s="10"/>
      <c r="Q97" s="10"/>
      <c r="R97" s="10"/>
      <c r="S97" s="10"/>
      <c r="T97" s="10"/>
      <c r="U97" s="13"/>
      <c r="V97" s="13"/>
      <c r="W97" s="13"/>
      <c r="X97" s="13"/>
      <c r="Y97" s="13"/>
      <c r="Z97" s="13"/>
    </row>
    <row r="98" spans="1:26" ht="15.4" x14ac:dyDescent="0.55000000000000004">
      <c r="A98" s="14"/>
      <c r="B98" s="91" t="s">
        <v>77</v>
      </c>
      <c r="C98" s="96">
        <v>1840</v>
      </c>
      <c r="D98" s="19">
        <v>1840</v>
      </c>
      <c r="E98" s="11"/>
      <c r="F98" s="19">
        <v>1840</v>
      </c>
      <c r="G98" s="11"/>
      <c r="H98" s="19">
        <v>1840</v>
      </c>
      <c r="I98" s="10"/>
      <c r="J98" s="19">
        <v>1840</v>
      </c>
      <c r="K98" s="10"/>
      <c r="L98" s="19">
        <v>1840</v>
      </c>
      <c r="M98" s="10"/>
      <c r="N98" s="19">
        <v>1840</v>
      </c>
      <c r="O98" s="10"/>
      <c r="P98" s="10"/>
      <c r="Q98" s="10"/>
      <c r="R98" s="10"/>
      <c r="S98" s="10"/>
      <c r="T98" s="10"/>
      <c r="U98" s="13"/>
      <c r="V98" s="13"/>
      <c r="W98" s="13"/>
      <c r="X98" s="13"/>
      <c r="Y98" s="13"/>
      <c r="Z98" s="13"/>
    </row>
    <row r="99" spans="1:26" ht="15.4" x14ac:dyDescent="0.55000000000000004">
      <c r="A99" s="14"/>
      <c r="B99" s="91" t="s">
        <v>78</v>
      </c>
      <c r="C99" s="96">
        <v>385</v>
      </c>
      <c r="D99" s="19">
        <v>385</v>
      </c>
      <c r="E99" s="11"/>
      <c r="F99" s="19">
        <v>385</v>
      </c>
      <c r="G99" s="11"/>
      <c r="H99" s="19">
        <v>385</v>
      </c>
      <c r="I99" s="10"/>
      <c r="J99" s="19">
        <v>385</v>
      </c>
      <c r="K99" s="10"/>
      <c r="L99" s="19">
        <v>385</v>
      </c>
      <c r="M99" s="10"/>
      <c r="N99" s="19">
        <v>385</v>
      </c>
      <c r="O99" s="10"/>
      <c r="P99" s="10"/>
      <c r="Q99" s="10"/>
      <c r="R99" s="10"/>
      <c r="S99" s="10"/>
      <c r="T99" s="10"/>
      <c r="U99" s="13"/>
      <c r="V99" s="13"/>
      <c r="W99" s="13"/>
      <c r="X99" s="13"/>
      <c r="Y99" s="13"/>
      <c r="Z99" s="13"/>
    </row>
    <row r="100" spans="1:26" ht="15.4" x14ac:dyDescent="0.55000000000000004">
      <c r="A100" s="26"/>
      <c r="B100" s="91"/>
      <c r="C100" s="97"/>
      <c r="E100" s="98"/>
      <c r="G100" s="9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3"/>
      <c r="V100" s="13"/>
      <c r="W100" s="13"/>
      <c r="X100" s="13"/>
      <c r="Y100" s="13"/>
      <c r="Z100" s="13"/>
    </row>
    <row r="101" spans="1:26" ht="15.4" x14ac:dyDescent="0.55000000000000004">
      <c r="A101" s="99"/>
      <c r="B101" s="90" t="s">
        <v>26</v>
      </c>
      <c r="C101" s="97">
        <f t="shared" ref="C101:D101" si="26">SUM(C94:C99)</f>
        <v>5975</v>
      </c>
      <c r="D101" s="22">
        <f t="shared" si="26"/>
        <v>5975</v>
      </c>
      <c r="E101" s="17">
        <f>D101/C101</f>
        <v>1</v>
      </c>
      <c r="F101" s="23">
        <f>D101*2</f>
        <v>11950</v>
      </c>
      <c r="G101" s="17"/>
      <c r="H101" s="23">
        <v>17925</v>
      </c>
      <c r="I101" s="10"/>
      <c r="J101" s="23">
        <f>D101*4</f>
        <v>23900</v>
      </c>
      <c r="K101" s="10"/>
      <c r="L101" s="23">
        <f>C101*5</f>
        <v>29875</v>
      </c>
      <c r="M101" s="23"/>
      <c r="N101" s="23">
        <f>C101*6</f>
        <v>35850</v>
      </c>
      <c r="O101" s="10"/>
      <c r="P101" s="10"/>
      <c r="Q101" s="10"/>
      <c r="R101" s="10"/>
      <c r="S101" s="10"/>
      <c r="T101" s="10"/>
      <c r="U101" s="13"/>
      <c r="V101" s="13"/>
      <c r="W101" s="13"/>
      <c r="X101" s="13"/>
      <c r="Y101" s="13"/>
      <c r="Z101" s="13"/>
    </row>
    <row r="102" spans="1:26" ht="15.4" x14ac:dyDescent="0.55000000000000004">
      <c r="A102" s="69"/>
      <c r="B102" s="100"/>
      <c r="C102" s="101"/>
      <c r="D102" s="35"/>
      <c r="E102" s="36"/>
      <c r="F102" s="35"/>
      <c r="G102" s="36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3"/>
      <c r="V102" s="33"/>
      <c r="W102" s="33"/>
      <c r="X102" s="33"/>
      <c r="Y102" s="33"/>
      <c r="Z102" s="33"/>
    </row>
    <row r="103" spans="1:26" ht="15.4" x14ac:dyDescent="0.55000000000000004">
      <c r="A103" s="102" t="s">
        <v>79</v>
      </c>
      <c r="B103" s="103" t="s">
        <v>80</v>
      </c>
      <c r="C103" s="104">
        <v>6750</v>
      </c>
      <c r="D103" s="10">
        <v>6750</v>
      </c>
      <c r="E103" s="11">
        <f t="shared" ref="E103:E106" si="27">D103/C103</f>
        <v>1</v>
      </c>
      <c r="F103" s="10">
        <v>6750</v>
      </c>
      <c r="G103" s="11"/>
      <c r="H103" s="10">
        <v>6750</v>
      </c>
      <c r="I103" s="10"/>
      <c r="J103" s="10">
        <v>6885</v>
      </c>
      <c r="K103" s="10"/>
      <c r="L103" s="10">
        <v>6750</v>
      </c>
      <c r="M103" s="10"/>
      <c r="N103" s="10">
        <v>6750</v>
      </c>
      <c r="O103" s="10"/>
      <c r="P103" s="10"/>
      <c r="Q103" s="10"/>
      <c r="R103" s="10"/>
      <c r="S103" s="10"/>
      <c r="T103" s="10"/>
      <c r="U103" s="13"/>
      <c r="V103" s="13"/>
      <c r="W103" s="13"/>
      <c r="X103" s="13"/>
      <c r="Y103" s="13"/>
      <c r="Z103" s="13"/>
    </row>
    <row r="104" spans="1:26" ht="15.4" x14ac:dyDescent="0.55000000000000004">
      <c r="A104" s="14"/>
      <c r="B104" s="103" t="s">
        <v>81</v>
      </c>
      <c r="C104" s="104">
        <v>670</v>
      </c>
      <c r="D104" s="10">
        <v>570</v>
      </c>
      <c r="E104" s="11">
        <f t="shared" si="27"/>
        <v>0.85074626865671643</v>
      </c>
      <c r="F104" s="10">
        <v>670</v>
      </c>
      <c r="G104" s="11"/>
      <c r="H104" s="10">
        <v>670</v>
      </c>
      <c r="I104" s="10"/>
      <c r="J104" s="10">
        <v>330</v>
      </c>
      <c r="K104" s="10"/>
      <c r="L104" s="10">
        <v>670</v>
      </c>
      <c r="M104" s="10"/>
      <c r="N104" s="10">
        <v>670</v>
      </c>
      <c r="O104" s="10"/>
      <c r="P104" s="10"/>
      <c r="Q104" s="10"/>
      <c r="R104" s="10"/>
      <c r="S104" s="10"/>
      <c r="T104" s="10"/>
      <c r="U104" s="13"/>
      <c r="V104" s="13"/>
      <c r="W104" s="13"/>
      <c r="X104" s="13"/>
      <c r="Y104" s="13"/>
      <c r="Z104" s="13"/>
    </row>
    <row r="105" spans="1:26" ht="15.4" x14ac:dyDescent="0.55000000000000004">
      <c r="A105" s="14"/>
      <c r="B105" s="103" t="s">
        <v>82</v>
      </c>
      <c r="C105" s="104">
        <v>400</v>
      </c>
      <c r="D105" s="10">
        <f>1245+730+160</f>
        <v>2135</v>
      </c>
      <c r="E105" s="11">
        <f t="shared" si="27"/>
        <v>5.3375000000000004</v>
      </c>
      <c r="F105" s="10">
        <v>100</v>
      </c>
      <c r="G105" s="11"/>
      <c r="H105" s="10">
        <v>337</v>
      </c>
      <c r="I105" s="10"/>
      <c r="J105" s="10">
        <v>1000</v>
      </c>
      <c r="K105" s="10"/>
      <c r="L105" s="10">
        <v>881</v>
      </c>
      <c r="M105" s="10"/>
      <c r="N105" s="10">
        <v>600</v>
      </c>
      <c r="O105" s="10"/>
      <c r="P105" s="10"/>
      <c r="Q105" s="10"/>
      <c r="R105" s="10"/>
      <c r="S105" s="10"/>
      <c r="T105" s="10"/>
      <c r="U105" s="13"/>
      <c r="V105" s="13"/>
      <c r="W105" s="13"/>
      <c r="X105" s="13"/>
      <c r="Y105" s="13"/>
      <c r="Z105" s="13"/>
    </row>
    <row r="106" spans="1:26" ht="15.4" x14ac:dyDescent="0.55000000000000004">
      <c r="A106" s="14"/>
      <c r="B106" s="103" t="s">
        <v>83</v>
      </c>
      <c r="C106" s="104">
        <v>1280</v>
      </c>
      <c r="D106" s="10">
        <v>1865</v>
      </c>
      <c r="E106" s="11">
        <f t="shared" si="27"/>
        <v>1.45703125</v>
      </c>
      <c r="F106" s="10">
        <v>0</v>
      </c>
      <c r="G106" s="11"/>
      <c r="H106" s="10">
        <v>0</v>
      </c>
      <c r="I106" s="10"/>
      <c r="J106" s="10">
        <v>1020</v>
      </c>
      <c r="K106" s="10"/>
      <c r="L106" s="10">
        <v>1020</v>
      </c>
      <c r="M106" s="10"/>
      <c r="N106" s="10">
        <v>1020</v>
      </c>
      <c r="O106" s="10"/>
      <c r="P106" s="10"/>
      <c r="Q106" s="10"/>
      <c r="R106" s="10"/>
      <c r="S106" s="10"/>
      <c r="T106" s="10"/>
      <c r="U106" s="13"/>
      <c r="V106" s="13"/>
      <c r="W106" s="13"/>
      <c r="X106" s="13"/>
      <c r="Y106" s="13"/>
      <c r="Z106" s="13"/>
    </row>
    <row r="107" spans="1:26" ht="15.4" x14ac:dyDescent="0.55000000000000004">
      <c r="A107" s="14"/>
      <c r="B107" s="103" t="s">
        <v>84</v>
      </c>
      <c r="C107" s="105"/>
      <c r="D107" s="19">
        <v>0</v>
      </c>
      <c r="E107" s="17"/>
      <c r="F107" s="10">
        <v>0</v>
      </c>
      <c r="G107" s="17"/>
      <c r="H107" s="10">
        <v>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3"/>
      <c r="V107" s="13"/>
      <c r="W107" s="13"/>
      <c r="X107" s="13"/>
      <c r="Y107" s="13"/>
      <c r="Z107" s="13"/>
    </row>
    <row r="108" spans="1:26" ht="15.4" x14ac:dyDescent="0.55000000000000004">
      <c r="A108" s="14"/>
      <c r="B108" s="106" t="s">
        <v>23</v>
      </c>
      <c r="C108" s="105">
        <f>SUM(C103:C106)</f>
        <v>9100</v>
      </c>
      <c r="D108" s="22">
        <f>SUM(D102:D107)</f>
        <v>11320</v>
      </c>
      <c r="E108" s="17">
        <f>D108/C108</f>
        <v>1.243956043956044</v>
      </c>
      <c r="F108" s="23">
        <f>SUM(F103:F107)</f>
        <v>7520</v>
      </c>
      <c r="G108" s="17"/>
      <c r="H108" s="23">
        <f>SUM(H103:H107)</f>
        <v>7757</v>
      </c>
      <c r="I108" s="10"/>
      <c r="J108" s="23">
        <f>SUM(J103:J107)</f>
        <v>9235</v>
      </c>
      <c r="K108" s="10"/>
      <c r="L108" s="23">
        <f>SUM(L103:L107)</f>
        <v>9321</v>
      </c>
      <c r="M108" s="10"/>
      <c r="N108" s="23">
        <f>SUM(N103:N107)</f>
        <v>9040</v>
      </c>
      <c r="O108" s="10"/>
      <c r="P108" s="10"/>
      <c r="Q108" s="10"/>
      <c r="R108" s="10"/>
      <c r="S108" s="10"/>
      <c r="T108" s="10"/>
      <c r="U108" s="13"/>
      <c r="V108" s="13"/>
      <c r="W108" s="13"/>
      <c r="X108" s="13"/>
      <c r="Y108" s="13"/>
      <c r="Z108" s="13"/>
    </row>
    <row r="109" spans="1:26" ht="15.4" x14ac:dyDescent="0.55000000000000004">
      <c r="A109" s="14"/>
      <c r="B109" s="103"/>
      <c r="C109" s="107"/>
      <c r="D109" s="23"/>
      <c r="E109" s="17"/>
      <c r="F109" s="10"/>
      <c r="G109" s="1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3"/>
      <c r="V109" s="13"/>
      <c r="W109" s="13"/>
      <c r="X109" s="13"/>
      <c r="Y109" s="13"/>
      <c r="Z109" s="13"/>
    </row>
    <row r="110" spans="1:26" ht="15.4" x14ac:dyDescent="0.55000000000000004">
      <c r="A110" s="14"/>
      <c r="B110" s="108" t="s">
        <v>24</v>
      </c>
      <c r="C110" s="107"/>
      <c r="D110" s="23"/>
      <c r="E110" s="17"/>
      <c r="F110" s="10"/>
      <c r="G110" s="1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3"/>
      <c r="V110" s="13"/>
      <c r="W110" s="13"/>
      <c r="X110" s="13"/>
      <c r="Y110" s="13"/>
      <c r="Z110" s="13"/>
    </row>
    <row r="111" spans="1:26" ht="15.4" x14ac:dyDescent="0.55000000000000004">
      <c r="A111" s="26"/>
      <c r="B111" s="103" t="s">
        <v>85</v>
      </c>
      <c r="C111" s="109">
        <v>1000</v>
      </c>
      <c r="D111" s="19">
        <v>1000</v>
      </c>
      <c r="E111" s="11"/>
      <c r="F111" s="19">
        <v>1000</v>
      </c>
      <c r="G111" s="1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3"/>
      <c r="V111" s="13"/>
      <c r="W111" s="13"/>
      <c r="X111" s="13"/>
      <c r="Y111" s="13"/>
      <c r="Z111" s="13"/>
    </row>
    <row r="112" spans="1:26" ht="15.4" x14ac:dyDescent="0.55000000000000004">
      <c r="A112" s="110"/>
      <c r="B112" s="108" t="s">
        <v>26</v>
      </c>
      <c r="C112" s="105">
        <v>1000</v>
      </c>
      <c r="D112" s="22">
        <v>1000</v>
      </c>
      <c r="E112" s="17"/>
      <c r="F112" s="22">
        <f>D112*2</f>
        <v>2000</v>
      </c>
      <c r="G112" s="1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3"/>
      <c r="V112" s="13"/>
      <c r="W112" s="13"/>
      <c r="X112" s="13"/>
      <c r="Y112" s="13"/>
      <c r="Z112" s="13"/>
    </row>
    <row r="113" spans="1:26" ht="15.4" x14ac:dyDescent="0.55000000000000004">
      <c r="A113" s="32"/>
      <c r="B113" s="87"/>
      <c r="C113" s="88"/>
      <c r="D113" s="35"/>
      <c r="E113" s="36"/>
      <c r="F113" s="35"/>
      <c r="G113" s="36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3"/>
      <c r="V113" s="33"/>
      <c r="W113" s="33"/>
      <c r="X113" s="33"/>
      <c r="Y113" s="33"/>
      <c r="Z113" s="33"/>
    </row>
    <row r="114" spans="1:26" ht="15.4" x14ac:dyDescent="0.55000000000000004">
      <c r="A114" s="111" t="s">
        <v>86</v>
      </c>
      <c r="B114" s="49" t="s">
        <v>87</v>
      </c>
      <c r="C114" s="50">
        <v>9360</v>
      </c>
      <c r="D114" s="10">
        <v>11100</v>
      </c>
      <c r="E114" s="11">
        <f t="shared" ref="E114:E115" si="28">D114/C114</f>
        <v>1.1858974358974359</v>
      </c>
      <c r="F114" s="10">
        <v>8760</v>
      </c>
      <c r="G114" s="11"/>
      <c r="H114" s="10">
        <v>6840</v>
      </c>
      <c r="I114" s="10"/>
      <c r="J114" s="10">
        <v>6515</v>
      </c>
      <c r="K114" s="10"/>
      <c r="L114" s="10">
        <v>8755</v>
      </c>
      <c r="M114" s="10"/>
      <c r="N114" s="10">
        <v>9655</v>
      </c>
      <c r="O114" s="10"/>
      <c r="P114" s="10"/>
      <c r="Q114" s="10"/>
      <c r="R114" s="10"/>
      <c r="S114" s="10"/>
      <c r="T114" s="10"/>
      <c r="U114" s="13"/>
      <c r="V114" s="13"/>
      <c r="W114" s="13"/>
      <c r="X114" s="13"/>
      <c r="Y114" s="13"/>
      <c r="Z114" s="13"/>
    </row>
    <row r="115" spans="1:26" ht="15.4" x14ac:dyDescent="0.55000000000000004">
      <c r="A115" s="14"/>
      <c r="B115" s="49" t="s">
        <v>88</v>
      </c>
      <c r="C115" s="50">
        <v>1440</v>
      </c>
      <c r="D115" s="10">
        <v>1260</v>
      </c>
      <c r="E115" s="11">
        <f t="shared" si="28"/>
        <v>0.875</v>
      </c>
      <c r="F115" s="10">
        <v>400</v>
      </c>
      <c r="G115" s="11"/>
      <c r="H115" s="10">
        <v>3020</v>
      </c>
      <c r="I115" s="10"/>
      <c r="J115" s="10">
        <v>1865</v>
      </c>
      <c r="K115" s="10"/>
      <c r="L115" s="10">
        <v>400</v>
      </c>
      <c r="M115" s="10"/>
      <c r="N115" s="10">
        <v>300</v>
      </c>
      <c r="O115" s="10"/>
      <c r="P115" s="10"/>
      <c r="Q115" s="10"/>
      <c r="R115" s="10"/>
      <c r="S115" s="10"/>
      <c r="T115" s="10"/>
      <c r="U115" s="13"/>
      <c r="V115" s="13"/>
      <c r="W115" s="13"/>
      <c r="X115" s="13"/>
      <c r="Y115" s="13"/>
      <c r="Z115" s="13"/>
    </row>
    <row r="116" spans="1:26" ht="15.4" x14ac:dyDescent="0.55000000000000004">
      <c r="A116" s="14"/>
      <c r="B116" s="49" t="s">
        <v>89</v>
      </c>
      <c r="C116" s="53"/>
      <c r="D116" s="19">
        <v>0</v>
      </c>
      <c r="E116" s="11"/>
      <c r="F116" s="10">
        <v>0</v>
      </c>
      <c r="G116" s="11"/>
      <c r="H116" s="10">
        <v>246</v>
      </c>
      <c r="I116" s="10"/>
      <c r="J116" s="10">
        <v>166</v>
      </c>
      <c r="K116" s="10"/>
      <c r="L116" s="10"/>
      <c r="M116" s="10"/>
      <c r="N116" s="10">
        <v>190</v>
      </c>
      <c r="O116" s="10"/>
      <c r="P116" s="10"/>
      <c r="Q116" s="10"/>
      <c r="R116" s="10"/>
      <c r="S116" s="10"/>
      <c r="T116" s="10"/>
      <c r="U116" s="13"/>
      <c r="V116" s="13"/>
      <c r="W116" s="13"/>
      <c r="X116" s="13"/>
      <c r="Y116" s="13"/>
      <c r="Z116" s="13"/>
    </row>
    <row r="117" spans="1:26" ht="15.4" x14ac:dyDescent="0.55000000000000004">
      <c r="A117" s="14"/>
      <c r="B117" s="52" t="s">
        <v>23</v>
      </c>
      <c r="C117" s="53">
        <f t="shared" ref="C117:D117" si="29">SUM(C114:C115)</f>
        <v>10800</v>
      </c>
      <c r="D117" s="22">
        <f t="shared" si="29"/>
        <v>12360</v>
      </c>
      <c r="E117" s="11">
        <f>D117/C117</f>
        <v>1.1444444444444444</v>
      </c>
      <c r="F117" s="23">
        <f>SUM(F114:F116)</f>
        <v>9160</v>
      </c>
      <c r="G117" s="11"/>
      <c r="H117" s="23">
        <f>SUM(H114:H116)</f>
        <v>10106</v>
      </c>
      <c r="I117" s="10"/>
      <c r="J117" s="23">
        <f>SUM(J114:J116)</f>
        <v>8546</v>
      </c>
      <c r="K117" s="10"/>
      <c r="L117" s="23">
        <f>SUM(L114:L116)</f>
        <v>9155</v>
      </c>
      <c r="M117" s="10"/>
      <c r="N117" s="23">
        <f>SUM(N114:N116)</f>
        <v>10145</v>
      </c>
      <c r="O117" s="10"/>
      <c r="P117" s="10"/>
      <c r="Q117" s="10"/>
      <c r="R117" s="10"/>
      <c r="S117" s="10"/>
      <c r="T117" s="10"/>
      <c r="U117" s="13"/>
      <c r="V117" s="13"/>
      <c r="W117" s="13"/>
      <c r="X117" s="13"/>
      <c r="Y117" s="13"/>
      <c r="Z117" s="13"/>
    </row>
    <row r="118" spans="1:26" ht="15.4" x14ac:dyDescent="0.55000000000000004">
      <c r="A118" s="14"/>
      <c r="B118" s="49"/>
      <c r="C118" s="53"/>
      <c r="D118" s="23"/>
      <c r="E118" s="17"/>
      <c r="F118" s="10"/>
      <c r="G118" s="1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3"/>
      <c r="V118" s="13"/>
      <c r="W118" s="13"/>
      <c r="X118" s="13"/>
      <c r="Y118" s="13"/>
      <c r="Z118" s="13"/>
    </row>
    <row r="119" spans="1:26" ht="15.4" x14ac:dyDescent="0.55000000000000004">
      <c r="A119" s="14"/>
      <c r="B119" s="54" t="s">
        <v>24</v>
      </c>
      <c r="C119" s="53"/>
      <c r="D119" s="23"/>
      <c r="E119" s="17"/>
      <c r="F119" s="10"/>
      <c r="G119" s="1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3"/>
      <c r="V119" s="13"/>
      <c r="W119" s="13"/>
      <c r="X119" s="13"/>
      <c r="Y119" s="13"/>
      <c r="Z119" s="13"/>
    </row>
    <row r="120" spans="1:26" ht="15.4" x14ac:dyDescent="0.55000000000000004">
      <c r="A120" s="14"/>
      <c r="B120" s="49" t="s">
        <v>89</v>
      </c>
      <c r="C120" s="112">
        <v>100</v>
      </c>
      <c r="D120" s="19">
        <v>100</v>
      </c>
      <c r="E120" s="11"/>
      <c r="F120" s="19">
        <v>100</v>
      </c>
      <c r="G120" s="1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3"/>
      <c r="V120" s="13"/>
      <c r="W120" s="13"/>
      <c r="X120" s="13"/>
      <c r="Y120" s="13"/>
      <c r="Z120" s="13"/>
    </row>
    <row r="121" spans="1:26" ht="15.4" x14ac:dyDescent="0.55000000000000004">
      <c r="A121" s="26"/>
      <c r="B121" s="54" t="s">
        <v>26</v>
      </c>
      <c r="C121" s="112">
        <v>100</v>
      </c>
      <c r="D121" s="22">
        <v>100</v>
      </c>
      <c r="E121" s="11"/>
      <c r="F121" s="22">
        <f>D121*2</f>
        <v>200</v>
      </c>
      <c r="G121" s="1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3"/>
      <c r="V121" s="13"/>
      <c r="W121" s="13"/>
      <c r="X121" s="13"/>
      <c r="Y121" s="13"/>
      <c r="Z121" s="13"/>
    </row>
    <row r="122" spans="1:26" ht="15.4" x14ac:dyDescent="0.55000000000000004">
      <c r="A122" s="113"/>
      <c r="B122" s="33"/>
      <c r="C122" s="34"/>
      <c r="D122" s="35"/>
      <c r="E122" s="36"/>
      <c r="F122" s="35"/>
      <c r="G122" s="36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3"/>
      <c r="V122" s="33"/>
      <c r="W122" s="33"/>
      <c r="X122" s="33"/>
      <c r="Y122" s="33"/>
      <c r="Z122" s="33"/>
    </row>
    <row r="123" spans="1:26" ht="15.4" x14ac:dyDescent="0.55000000000000004">
      <c r="A123" s="114" t="s">
        <v>90</v>
      </c>
      <c r="B123" s="59" t="s">
        <v>91</v>
      </c>
      <c r="C123" s="62">
        <v>1390</v>
      </c>
      <c r="D123" s="10">
        <v>1390</v>
      </c>
      <c r="E123" s="11">
        <f t="shared" ref="E123:E125" si="30">D123/C123</f>
        <v>1</v>
      </c>
      <c r="F123" s="10">
        <v>1390</v>
      </c>
      <c r="G123" s="11"/>
      <c r="H123" s="10">
        <v>1390</v>
      </c>
      <c r="I123" s="10"/>
      <c r="J123" s="10">
        <v>1390</v>
      </c>
      <c r="K123" s="10"/>
      <c r="L123" s="10">
        <v>1390</v>
      </c>
      <c r="M123" s="10"/>
      <c r="N123" s="10">
        <v>1390</v>
      </c>
      <c r="O123" s="10"/>
      <c r="P123" s="10"/>
      <c r="Q123" s="10"/>
      <c r="R123" s="10"/>
      <c r="S123" s="10"/>
      <c r="T123" s="10"/>
      <c r="U123" s="13"/>
      <c r="V123" s="13"/>
      <c r="W123" s="13"/>
      <c r="X123" s="13"/>
      <c r="Y123" s="13"/>
      <c r="Z123" s="13"/>
    </row>
    <row r="124" spans="1:26" ht="15.4" x14ac:dyDescent="0.55000000000000004">
      <c r="A124" s="14"/>
      <c r="B124" s="59" t="s">
        <v>92</v>
      </c>
      <c r="C124" s="62">
        <v>750</v>
      </c>
      <c r="D124" s="10">
        <v>400</v>
      </c>
      <c r="E124" s="11">
        <f t="shared" si="30"/>
        <v>0.53333333333333333</v>
      </c>
      <c r="F124" s="10">
        <v>1860</v>
      </c>
      <c r="G124" s="11"/>
      <c r="H124" s="10">
        <v>450</v>
      </c>
      <c r="I124" s="10"/>
      <c r="J124" s="10">
        <v>768</v>
      </c>
      <c r="K124" s="10"/>
      <c r="L124" s="10">
        <v>1590</v>
      </c>
      <c r="M124" s="10"/>
      <c r="N124" s="10">
        <v>500</v>
      </c>
      <c r="O124" s="10"/>
      <c r="P124" s="10"/>
      <c r="Q124" s="10"/>
      <c r="R124" s="10"/>
      <c r="S124" s="10"/>
      <c r="T124" s="10"/>
      <c r="U124" s="13"/>
      <c r="V124" s="13"/>
      <c r="W124" s="13"/>
      <c r="X124" s="13"/>
      <c r="Y124" s="13"/>
      <c r="Z124" s="13"/>
    </row>
    <row r="125" spans="1:26" ht="15.4" x14ac:dyDescent="0.55000000000000004">
      <c r="A125" s="14"/>
      <c r="B125" s="59" t="s">
        <v>93</v>
      </c>
      <c r="C125" s="62">
        <v>1500</v>
      </c>
      <c r="D125" s="10">
        <v>2070</v>
      </c>
      <c r="E125" s="11">
        <f t="shared" si="30"/>
        <v>1.38</v>
      </c>
      <c r="F125" s="10">
        <v>1420</v>
      </c>
      <c r="G125" s="11"/>
      <c r="H125" s="10">
        <v>300</v>
      </c>
      <c r="I125" s="10"/>
      <c r="J125" s="10">
        <f>2149+299</f>
        <v>2448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3"/>
      <c r="V125" s="13"/>
      <c r="W125" s="13"/>
      <c r="X125" s="13"/>
      <c r="Y125" s="13"/>
      <c r="Z125" s="13"/>
    </row>
    <row r="126" spans="1:26" ht="15.4" x14ac:dyDescent="0.55000000000000004">
      <c r="A126" s="14"/>
      <c r="B126" s="59"/>
      <c r="C126" s="64"/>
      <c r="D126" s="23"/>
      <c r="E126" s="17"/>
      <c r="F126" s="10"/>
      <c r="G126" s="1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3"/>
      <c r="V126" s="13"/>
      <c r="W126" s="13"/>
      <c r="X126" s="13"/>
      <c r="Y126" s="13"/>
      <c r="Z126" s="13"/>
    </row>
    <row r="127" spans="1:26" ht="15.4" x14ac:dyDescent="0.55000000000000004">
      <c r="A127" s="26"/>
      <c r="B127" s="65" t="s">
        <v>23</v>
      </c>
      <c r="C127" s="64">
        <f t="shared" ref="C127:D127" si="31">SUM(C123:C124)</f>
        <v>2140</v>
      </c>
      <c r="D127" s="23">
        <f t="shared" si="31"/>
        <v>1790</v>
      </c>
      <c r="E127" s="17">
        <f>D127/C127</f>
        <v>0.83644859813084116</v>
      </c>
      <c r="F127" s="23">
        <f>SUM(F123:F124)</f>
        <v>3250</v>
      </c>
      <c r="G127" s="17"/>
      <c r="H127" s="23">
        <f>SUM(H123:H124)</f>
        <v>1840</v>
      </c>
      <c r="I127" s="10"/>
      <c r="J127" s="23">
        <f>SUM(J123:J125)</f>
        <v>4606</v>
      </c>
      <c r="K127" s="10"/>
      <c r="L127" s="23">
        <f>SUM(L123:L125)</f>
        <v>2980</v>
      </c>
      <c r="M127" s="10"/>
      <c r="N127" s="23">
        <f>SUM(N123:N125)</f>
        <v>1890</v>
      </c>
      <c r="O127" s="10"/>
      <c r="P127" s="10"/>
      <c r="Q127" s="10"/>
      <c r="R127" s="10"/>
      <c r="S127" s="10"/>
      <c r="T127" s="10"/>
      <c r="U127" s="13"/>
      <c r="V127" s="13"/>
      <c r="W127" s="13"/>
      <c r="X127" s="13"/>
      <c r="Y127" s="13"/>
      <c r="Z127" s="13"/>
    </row>
    <row r="128" spans="1:26" ht="15.4" x14ac:dyDescent="0.55000000000000004">
      <c r="A128" s="113"/>
      <c r="B128" s="33"/>
      <c r="C128" s="115"/>
      <c r="D128" s="35"/>
      <c r="E128" s="73"/>
      <c r="F128" s="35"/>
      <c r="G128" s="73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3"/>
      <c r="V128" s="33"/>
      <c r="W128" s="33"/>
      <c r="X128" s="33"/>
      <c r="Y128" s="33"/>
      <c r="Z128" s="33"/>
    </row>
    <row r="129" spans="1:26" ht="15.4" x14ac:dyDescent="0.55000000000000004">
      <c r="A129" s="116" t="s">
        <v>94</v>
      </c>
      <c r="B129" s="117" t="s">
        <v>95</v>
      </c>
      <c r="C129" s="118">
        <v>750</v>
      </c>
      <c r="D129" s="10">
        <v>0</v>
      </c>
      <c r="E129" s="19"/>
      <c r="F129" s="10">
        <v>4017</v>
      </c>
      <c r="G129" s="19"/>
      <c r="H129" s="10"/>
      <c r="I129" s="10"/>
      <c r="J129" s="10">
        <v>449</v>
      </c>
      <c r="K129" s="10"/>
      <c r="L129" s="10">
        <v>309</v>
      </c>
      <c r="M129" s="10"/>
      <c r="N129" s="10">
        <v>863</v>
      </c>
      <c r="O129" s="10"/>
      <c r="P129" s="10"/>
      <c r="Q129" s="10"/>
      <c r="R129" s="10"/>
      <c r="S129" s="10"/>
      <c r="T129" s="10"/>
      <c r="U129" s="13"/>
      <c r="V129" s="13"/>
      <c r="W129" s="13"/>
      <c r="X129" s="13"/>
      <c r="Y129" s="13"/>
      <c r="Z129" s="13"/>
    </row>
    <row r="130" spans="1:26" ht="15.4" x14ac:dyDescent="0.55000000000000004">
      <c r="A130" s="14"/>
      <c r="B130" s="117" t="s">
        <v>96</v>
      </c>
      <c r="C130" s="119"/>
      <c r="D130" s="16">
        <v>198</v>
      </c>
      <c r="E130" s="19"/>
      <c r="F130" s="16">
        <v>2182</v>
      </c>
      <c r="G130" s="19"/>
      <c r="H130" s="10">
        <v>1460</v>
      </c>
      <c r="I130" s="10"/>
      <c r="J130" s="10"/>
      <c r="K130" s="10"/>
      <c r="L130" s="10">
        <v>1900</v>
      </c>
      <c r="M130" s="10"/>
      <c r="N130" s="10">
        <v>550</v>
      </c>
      <c r="O130" s="10"/>
      <c r="P130" s="10"/>
      <c r="Q130" s="10"/>
      <c r="R130" s="10"/>
      <c r="S130" s="10"/>
      <c r="T130" s="10"/>
      <c r="U130" s="13"/>
      <c r="V130" s="13"/>
      <c r="W130" s="13"/>
      <c r="X130" s="13"/>
      <c r="Y130" s="13"/>
      <c r="Z130" s="13"/>
    </row>
    <row r="131" spans="1:26" ht="15.4" x14ac:dyDescent="0.55000000000000004">
      <c r="A131" s="14"/>
      <c r="B131" s="117" t="s">
        <v>97</v>
      </c>
      <c r="C131" s="119"/>
      <c r="D131" s="10">
        <v>0</v>
      </c>
      <c r="E131" s="19"/>
      <c r="F131" s="16">
        <v>169</v>
      </c>
      <c r="G131" s="19"/>
      <c r="H131" s="10">
        <v>2000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3"/>
      <c r="V131" s="13"/>
      <c r="W131" s="13"/>
      <c r="X131" s="13"/>
      <c r="Y131" s="13"/>
      <c r="Z131" s="13"/>
    </row>
    <row r="132" spans="1:26" ht="15.4" x14ac:dyDescent="0.55000000000000004">
      <c r="A132" s="14"/>
      <c r="B132" s="117" t="s">
        <v>98</v>
      </c>
      <c r="C132" s="120"/>
      <c r="D132" s="16">
        <v>349</v>
      </c>
      <c r="E132" s="19"/>
      <c r="F132" s="10">
        <v>0</v>
      </c>
      <c r="G132" s="19"/>
      <c r="H132" s="10">
        <f>1569+300</f>
        <v>1869</v>
      </c>
      <c r="I132" s="10"/>
      <c r="J132" s="10"/>
      <c r="K132" s="10"/>
      <c r="L132" s="10">
        <v>875</v>
      </c>
      <c r="M132" s="10"/>
      <c r="N132" s="10"/>
      <c r="O132" s="10"/>
      <c r="P132" s="10"/>
      <c r="Q132" s="10"/>
      <c r="R132" s="10"/>
      <c r="S132" s="10"/>
      <c r="T132" s="10"/>
      <c r="U132" s="13"/>
      <c r="V132" s="13"/>
      <c r="W132" s="13"/>
      <c r="X132" s="13"/>
      <c r="Y132" s="13"/>
      <c r="Z132" s="13"/>
    </row>
    <row r="133" spans="1:26" ht="15.4" x14ac:dyDescent="0.55000000000000004">
      <c r="A133" s="14"/>
      <c r="B133" s="121" t="s">
        <v>23</v>
      </c>
      <c r="C133" s="120">
        <f t="shared" ref="C133:D133" si="32">SUM(C129:C132)</f>
        <v>750</v>
      </c>
      <c r="D133" s="23">
        <f t="shared" si="32"/>
        <v>547</v>
      </c>
      <c r="E133" s="11">
        <f>D133/C133</f>
        <v>0.72933333333333328</v>
      </c>
      <c r="F133" s="23">
        <f>SUM(F129:F132)</f>
        <v>6368</v>
      </c>
      <c r="G133" s="11">
        <f>F133/C133</f>
        <v>8.4906666666666659</v>
      </c>
      <c r="H133" s="23">
        <f>SUM(H129:H132)</f>
        <v>5329</v>
      </c>
      <c r="I133" s="10"/>
      <c r="J133" s="23">
        <f>SUM(J129:J132)</f>
        <v>449</v>
      </c>
      <c r="K133" s="10"/>
      <c r="L133" s="23">
        <f>SUM(L129:L132)</f>
        <v>3084</v>
      </c>
      <c r="M133" s="10"/>
      <c r="N133" s="23">
        <f>SUM(N129:N132)</f>
        <v>1413</v>
      </c>
      <c r="O133" s="10"/>
      <c r="P133" s="10"/>
      <c r="Q133" s="10"/>
      <c r="R133" s="10"/>
      <c r="S133" s="10"/>
      <c r="T133" s="10"/>
      <c r="U133" s="13"/>
      <c r="V133" s="13"/>
      <c r="W133" s="13"/>
      <c r="X133" s="13"/>
      <c r="Y133" s="13"/>
      <c r="Z133" s="13"/>
    </row>
    <row r="134" spans="1:26" ht="15.4" x14ac:dyDescent="0.55000000000000004">
      <c r="A134" s="14"/>
      <c r="B134" s="117"/>
      <c r="C134" s="122"/>
      <c r="D134" s="10"/>
      <c r="E134" s="19"/>
      <c r="F134" s="10"/>
      <c r="G134" s="1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3"/>
      <c r="V134" s="13"/>
      <c r="W134" s="13"/>
      <c r="X134" s="13"/>
      <c r="Y134" s="13"/>
      <c r="Z134" s="13"/>
    </row>
    <row r="135" spans="1:26" ht="15.4" x14ac:dyDescent="0.55000000000000004">
      <c r="A135" s="14"/>
      <c r="B135" s="123" t="s">
        <v>24</v>
      </c>
      <c r="C135" s="122"/>
      <c r="D135" s="10"/>
      <c r="E135" s="19"/>
      <c r="F135" s="10"/>
      <c r="G135" s="1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3"/>
      <c r="V135" s="13"/>
      <c r="W135" s="13"/>
      <c r="X135" s="13"/>
      <c r="Y135" s="13"/>
      <c r="Z135" s="13"/>
    </row>
    <row r="136" spans="1:26" ht="15.4" x14ac:dyDescent="0.55000000000000004">
      <c r="A136" s="26"/>
      <c r="B136" s="124" t="s">
        <v>96</v>
      </c>
      <c r="C136" s="118">
        <v>800</v>
      </c>
      <c r="D136" s="10">
        <v>800</v>
      </c>
      <c r="E136" s="19"/>
      <c r="F136" s="10">
        <v>800</v>
      </c>
      <c r="G136" s="1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3"/>
      <c r="V136" s="13"/>
      <c r="W136" s="13"/>
      <c r="X136" s="13"/>
      <c r="Y136" s="13"/>
      <c r="Z136" s="13"/>
    </row>
    <row r="137" spans="1:26" ht="15.4" x14ac:dyDescent="0.55000000000000004">
      <c r="A137" s="125"/>
      <c r="B137" s="124" t="s">
        <v>99</v>
      </c>
      <c r="C137" s="118">
        <v>350</v>
      </c>
      <c r="D137" s="10">
        <v>350</v>
      </c>
      <c r="E137" s="19"/>
      <c r="F137" s="10">
        <v>350</v>
      </c>
      <c r="G137" s="19"/>
      <c r="H137" s="10"/>
      <c r="I137" s="31"/>
      <c r="J137" s="12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3"/>
      <c r="V137" s="13"/>
      <c r="W137" s="13"/>
      <c r="X137" s="13"/>
      <c r="Y137" s="13"/>
      <c r="Z137" s="13"/>
    </row>
    <row r="138" spans="1:26" ht="15.4" x14ac:dyDescent="0.55000000000000004">
      <c r="A138" s="125"/>
      <c r="B138" s="124" t="s">
        <v>97</v>
      </c>
      <c r="C138" s="118">
        <v>400</v>
      </c>
      <c r="D138" s="10">
        <v>400</v>
      </c>
      <c r="E138" s="19"/>
      <c r="F138" s="10">
        <v>400</v>
      </c>
      <c r="G138" s="19"/>
      <c r="H138" s="10"/>
      <c r="I138" s="31"/>
      <c r="J138" s="12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3"/>
      <c r="V138" s="13"/>
      <c r="W138" s="13"/>
      <c r="X138" s="13"/>
      <c r="Y138" s="13"/>
      <c r="Z138" s="13"/>
    </row>
    <row r="139" spans="1:26" ht="15.4" x14ac:dyDescent="0.55000000000000004">
      <c r="A139" s="125"/>
      <c r="B139" s="123" t="s">
        <v>26</v>
      </c>
      <c r="C139" s="120">
        <f t="shared" ref="C139:D139" si="33">SUM(C136:C138)</f>
        <v>1550</v>
      </c>
      <c r="D139" s="23">
        <f t="shared" si="33"/>
        <v>1550</v>
      </c>
      <c r="E139" s="19"/>
      <c r="F139" s="23">
        <f>D139*2</f>
        <v>3100</v>
      </c>
      <c r="G139" s="19"/>
      <c r="H139" s="10"/>
      <c r="I139" s="31"/>
      <c r="J139" s="12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3"/>
      <c r="V139" s="13"/>
      <c r="W139" s="13"/>
      <c r="X139" s="13"/>
      <c r="Y139" s="13"/>
      <c r="Z139" s="13"/>
    </row>
    <row r="140" spans="1:26" ht="15.4" x14ac:dyDescent="0.55000000000000004">
      <c r="A140" s="6"/>
      <c r="B140" s="6"/>
      <c r="C140" s="6"/>
      <c r="D140" s="6"/>
      <c r="E140" s="126"/>
      <c r="F140" s="6"/>
      <c r="G140" s="12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4" x14ac:dyDescent="0.55000000000000004">
      <c r="A141" s="13"/>
      <c r="B141" s="127" t="s">
        <v>100</v>
      </c>
      <c r="C141" s="127" t="s">
        <v>3</v>
      </c>
      <c r="D141" s="128" t="s">
        <v>4</v>
      </c>
      <c r="E141" s="127" t="s">
        <v>5</v>
      </c>
      <c r="F141" s="128" t="s">
        <v>4</v>
      </c>
      <c r="G141" s="127" t="s">
        <v>6</v>
      </c>
      <c r="H141" s="128" t="s">
        <v>4</v>
      </c>
      <c r="I141" s="129" t="s">
        <v>101</v>
      </c>
      <c r="J141" s="127" t="s">
        <v>4</v>
      </c>
      <c r="K141" s="129" t="s">
        <v>8</v>
      </c>
      <c r="L141" s="127" t="s">
        <v>4</v>
      </c>
      <c r="M141" s="129" t="s">
        <v>9</v>
      </c>
      <c r="N141" s="127" t="s">
        <v>4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4" x14ac:dyDescent="0.55000000000000004">
      <c r="A142" s="130" t="s">
        <v>102</v>
      </c>
      <c r="B142" s="10">
        <v>34066</v>
      </c>
      <c r="C142" s="10">
        <v>25235</v>
      </c>
      <c r="D142" s="131">
        <f t="shared" ref="D142:D153" si="34">C142/B142</f>
        <v>0.7407679210943463</v>
      </c>
      <c r="E142" s="132">
        <v>32568</v>
      </c>
      <c r="F142" s="131">
        <f t="shared" ref="F142:F153" si="35">E142/B142</f>
        <v>0.95602653672283211</v>
      </c>
      <c r="G142" s="133">
        <v>33369</v>
      </c>
      <c r="H142" s="131">
        <f t="shared" ref="H142:H153" si="36">G142/B142</f>
        <v>0.9795397170199025</v>
      </c>
      <c r="I142" s="10">
        <v>45316</v>
      </c>
      <c r="J142" s="12">
        <f t="shared" ref="J142:J153" si="37">I142/B142</f>
        <v>1.3302412963071684</v>
      </c>
      <c r="K142" s="23">
        <v>35195</v>
      </c>
      <c r="L142" s="12">
        <f t="shared" ref="L142:L153" si="38">K142/B142</f>
        <v>1.0331415487582927</v>
      </c>
      <c r="M142" s="10">
        <v>37376</v>
      </c>
      <c r="N142" s="12">
        <f t="shared" ref="N142:N153" si="39">M142/B142</f>
        <v>1.0971643280690424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6"/>
      <c r="Z142" s="6"/>
    </row>
    <row r="143" spans="1:26" ht="15.4" x14ac:dyDescent="0.55000000000000004">
      <c r="A143" s="130" t="s">
        <v>103</v>
      </c>
      <c r="B143" s="10">
        <v>3503</v>
      </c>
      <c r="C143" s="10">
        <v>3035</v>
      </c>
      <c r="D143" s="131">
        <f t="shared" si="34"/>
        <v>0.86640022837567798</v>
      </c>
      <c r="E143" s="132">
        <v>5421</v>
      </c>
      <c r="F143" s="131">
        <f t="shared" si="35"/>
        <v>1.5475306879817299</v>
      </c>
      <c r="G143" s="133">
        <v>6600</v>
      </c>
      <c r="H143" s="131">
        <f t="shared" si="36"/>
        <v>1.8840993434199258</v>
      </c>
      <c r="I143" s="10">
        <v>4718</v>
      </c>
      <c r="J143" s="12">
        <f t="shared" si="37"/>
        <v>1.346845560947759</v>
      </c>
      <c r="K143" s="10">
        <v>4250</v>
      </c>
      <c r="L143" s="12">
        <f t="shared" si="38"/>
        <v>1.213245789323437</v>
      </c>
      <c r="M143" s="10">
        <v>3968</v>
      </c>
      <c r="N143" s="12">
        <f t="shared" si="39"/>
        <v>1.1327433628318584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6"/>
      <c r="Z143" s="6"/>
    </row>
    <row r="144" spans="1:26" ht="15.4" x14ac:dyDescent="0.55000000000000004">
      <c r="A144" s="130" t="s">
        <v>104</v>
      </c>
      <c r="B144" s="10">
        <v>8750</v>
      </c>
      <c r="C144" s="10">
        <v>9045</v>
      </c>
      <c r="D144" s="131">
        <f t="shared" si="34"/>
        <v>1.0337142857142858</v>
      </c>
      <c r="E144" s="132">
        <v>8899</v>
      </c>
      <c r="F144" s="131">
        <f t="shared" si="35"/>
        <v>1.0170285714285714</v>
      </c>
      <c r="G144" s="133">
        <v>6014</v>
      </c>
      <c r="H144" s="131">
        <f t="shared" si="36"/>
        <v>0.68731428571428577</v>
      </c>
      <c r="I144" s="10">
        <v>9051</v>
      </c>
      <c r="J144" s="12">
        <f t="shared" si="37"/>
        <v>1.0344</v>
      </c>
      <c r="K144" s="10">
        <v>8319</v>
      </c>
      <c r="L144" s="12">
        <f t="shared" si="38"/>
        <v>0.95074285714285711</v>
      </c>
      <c r="M144" s="10">
        <v>12231</v>
      </c>
      <c r="N144" s="12">
        <f t="shared" si="39"/>
        <v>1.3978285714285714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6"/>
      <c r="Z144" s="6"/>
    </row>
    <row r="145" spans="1:26" ht="15.4" x14ac:dyDescent="0.55000000000000004">
      <c r="A145" s="130" t="s">
        <v>105</v>
      </c>
      <c r="B145" s="10">
        <v>9969</v>
      </c>
      <c r="C145" s="10">
        <v>11259</v>
      </c>
      <c r="D145" s="131">
        <f t="shared" si="34"/>
        <v>1.1294011435449895</v>
      </c>
      <c r="E145" s="132">
        <v>19280</v>
      </c>
      <c r="F145" s="131">
        <f t="shared" si="35"/>
        <v>1.9339953856956564</v>
      </c>
      <c r="G145" s="133">
        <v>21970</v>
      </c>
      <c r="H145" s="131">
        <f t="shared" si="36"/>
        <v>2.2038318788243556</v>
      </c>
      <c r="I145" s="10">
        <v>10082</v>
      </c>
      <c r="J145" s="12">
        <f t="shared" si="37"/>
        <v>1.0113351389306851</v>
      </c>
      <c r="K145" s="10">
        <v>22431</v>
      </c>
      <c r="L145" s="12">
        <f t="shared" si="38"/>
        <v>2.2500752332229914</v>
      </c>
      <c r="M145" s="10">
        <v>7134</v>
      </c>
      <c r="N145" s="12">
        <f t="shared" si="39"/>
        <v>0.71561841709298823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6"/>
      <c r="Z145" s="6"/>
    </row>
    <row r="146" spans="1:26" ht="15.4" x14ac:dyDescent="0.55000000000000004">
      <c r="A146" s="130" t="s">
        <v>106</v>
      </c>
      <c r="B146" s="10">
        <v>3900</v>
      </c>
      <c r="C146" s="10">
        <v>2373</v>
      </c>
      <c r="D146" s="131">
        <f t="shared" si="34"/>
        <v>0.6084615384615385</v>
      </c>
      <c r="E146" s="132">
        <v>1648</v>
      </c>
      <c r="F146" s="131">
        <f t="shared" si="35"/>
        <v>0.42256410256410254</v>
      </c>
      <c r="G146" s="133">
        <v>9843</v>
      </c>
      <c r="H146" s="131">
        <f t="shared" si="36"/>
        <v>2.5238461538461539</v>
      </c>
      <c r="I146" s="10">
        <v>5832</v>
      </c>
      <c r="J146" s="12">
        <f t="shared" si="37"/>
        <v>1.4953846153846153</v>
      </c>
      <c r="K146" s="10">
        <v>4965</v>
      </c>
      <c r="L146" s="12">
        <f t="shared" si="38"/>
        <v>1.273076923076923</v>
      </c>
      <c r="M146" s="10">
        <v>3806</v>
      </c>
      <c r="N146" s="12">
        <f t="shared" si="39"/>
        <v>0.97589743589743594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6"/>
      <c r="Z146" s="6"/>
    </row>
    <row r="147" spans="1:26" ht="15.4" x14ac:dyDescent="0.55000000000000004">
      <c r="A147" s="130" t="s">
        <v>107</v>
      </c>
      <c r="B147" s="10">
        <v>14400</v>
      </c>
      <c r="C147" s="10">
        <v>14897</v>
      </c>
      <c r="D147" s="131">
        <f t="shared" si="34"/>
        <v>1.034513888888889</v>
      </c>
      <c r="E147" s="132">
        <v>10269</v>
      </c>
      <c r="F147" s="131">
        <f t="shared" si="35"/>
        <v>0.71312500000000001</v>
      </c>
      <c r="G147" s="133">
        <f>13217</f>
        <v>13217</v>
      </c>
      <c r="H147" s="131">
        <f t="shared" si="36"/>
        <v>0.91784722222222226</v>
      </c>
      <c r="I147" s="10">
        <v>15222</v>
      </c>
      <c r="J147" s="12">
        <f t="shared" si="37"/>
        <v>1.0570833333333334</v>
      </c>
      <c r="K147" s="10">
        <v>15730</v>
      </c>
      <c r="L147" s="12">
        <f t="shared" si="38"/>
        <v>1.0923611111111111</v>
      </c>
      <c r="M147" s="10">
        <v>15315</v>
      </c>
      <c r="N147" s="12">
        <f t="shared" si="39"/>
        <v>1.0635416666666666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6"/>
      <c r="Z147" s="6"/>
    </row>
    <row r="148" spans="1:26" ht="15.4" x14ac:dyDescent="0.55000000000000004">
      <c r="A148" s="130" t="s">
        <v>108</v>
      </c>
      <c r="B148" s="10">
        <v>9100</v>
      </c>
      <c r="C148" s="10">
        <v>11320</v>
      </c>
      <c r="D148" s="131">
        <f t="shared" si="34"/>
        <v>1.243956043956044</v>
      </c>
      <c r="E148" s="132">
        <v>7520</v>
      </c>
      <c r="F148" s="131">
        <f t="shared" si="35"/>
        <v>0.82637362637362632</v>
      </c>
      <c r="G148" s="133">
        <v>7757</v>
      </c>
      <c r="H148" s="131">
        <f t="shared" si="36"/>
        <v>0.85241758241758236</v>
      </c>
      <c r="I148" s="10">
        <v>9325</v>
      </c>
      <c r="J148" s="12">
        <f t="shared" si="37"/>
        <v>1.0247252747252746</v>
      </c>
      <c r="K148" s="10">
        <v>9321</v>
      </c>
      <c r="L148" s="12">
        <f t="shared" si="38"/>
        <v>1.0242857142857142</v>
      </c>
      <c r="M148" s="10">
        <v>9040</v>
      </c>
      <c r="N148" s="12">
        <f t="shared" si="39"/>
        <v>0.99340659340659343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6"/>
      <c r="Z148" s="6"/>
    </row>
    <row r="149" spans="1:26" ht="15.4" x14ac:dyDescent="0.55000000000000004">
      <c r="A149" s="130" t="s">
        <v>109</v>
      </c>
      <c r="B149" s="10">
        <v>10800</v>
      </c>
      <c r="C149" s="10">
        <v>12360</v>
      </c>
      <c r="D149" s="131">
        <f t="shared" si="34"/>
        <v>1.1444444444444444</v>
      </c>
      <c r="E149" s="132">
        <v>9160</v>
      </c>
      <c r="F149" s="131">
        <f t="shared" si="35"/>
        <v>0.8481481481481481</v>
      </c>
      <c r="G149" s="133">
        <v>10106</v>
      </c>
      <c r="H149" s="131">
        <f t="shared" si="36"/>
        <v>0.93574074074074076</v>
      </c>
      <c r="I149" s="10">
        <v>8546</v>
      </c>
      <c r="J149" s="12">
        <f t="shared" si="37"/>
        <v>0.79129629629629628</v>
      </c>
      <c r="K149" s="10">
        <v>9155</v>
      </c>
      <c r="L149" s="12">
        <f t="shared" si="38"/>
        <v>0.84768518518518521</v>
      </c>
      <c r="M149" s="10">
        <v>10145</v>
      </c>
      <c r="N149" s="12">
        <f t="shared" si="39"/>
        <v>0.93935185185185188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6"/>
      <c r="Z149" s="6"/>
    </row>
    <row r="150" spans="1:26" ht="15.4" x14ac:dyDescent="0.55000000000000004">
      <c r="A150" s="130" t="s">
        <v>90</v>
      </c>
      <c r="B150" s="10">
        <v>2140</v>
      </c>
      <c r="C150" s="10">
        <v>1790</v>
      </c>
      <c r="D150" s="131">
        <f t="shared" si="34"/>
        <v>0.83644859813084116</v>
      </c>
      <c r="E150" s="132">
        <v>3520</v>
      </c>
      <c r="F150" s="131">
        <f t="shared" si="35"/>
        <v>1.6448598130841121</v>
      </c>
      <c r="G150" s="133">
        <v>1840</v>
      </c>
      <c r="H150" s="131">
        <f t="shared" si="36"/>
        <v>0.85981308411214952</v>
      </c>
      <c r="I150" s="10">
        <v>4606</v>
      </c>
      <c r="J150" s="12">
        <f t="shared" si="37"/>
        <v>2.1523364485981307</v>
      </c>
      <c r="K150" s="10">
        <v>2980</v>
      </c>
      <c r="L150" s="12">
        <f t="shared" si="38"/>
        <v>1.3925233644859814</v>
      </c>
      <c r="M150" s="10">
        <v>1890</v>
      </c>
      <c r="N150" s="12">
        <f t="shared" si="39"/>
        <v>0.88317757009345799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6"/>
      <c r="Z150" s="6"/>
    </row>
    <row r="151" spans="1:26" ht="15.4" x14ac:dyDescent="0.55000000000000004">
      <c r="A151" s="130" t="s">
        <v>110</v>
      </c>
      <c r="B151" s="10">
        <v>750</v>
      </c>
      <c r="C151" s="10">
        <v>547</v>
      </c>
      <c r="D151" s="131">
        <f t="shared" si="34"/>
        <v>0.72933333333333328</v>
      </c>
      <c r="E151" s="132">
        <v>6368</v>
      </c>
      <c r="F151" s="131">
        <f t="shared" si="35"/>
        <v>8.4906666666666659</v>
      </c>
      <c r="G151" s="133">
        <v>5329</v>
      </c>
      <c r="H151" s="131">
        <f t="shared" si="36"/>
        <v>7.1053333333333333</v>
      </c>
      <c r="I151" s="10">
        <v>449</v>
      </c>
      <c r="J151" s="12">
        <f t="shared" si="37"/>
        <v>0.59866666666666668</v>
      </c>
      <c r="K151" s="10">
        <v>3084</v>
      </c>
      <c r="L151" s="12">
        <f t="shared" si="38"/>
        <v>4.1120000000000001</v>
      </c>
      <c r="M151" s="10">
        <v>1413</v>
      </c>
      <c r="N151" s="12">
        <f t="shared" si="39"/>
        <v>1.8839999999999999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6"/>
      <c r="Z151" s="6"/>
    </row>
    <row r="152" spans="1:26" ht="15.4" x14ac:dyDescent="0.55000000000000004">
      <c r="A152" s="130" t="s">
        <v>111</v>
      </c>
      <c r="B152" s="10">
        <v>3000</v>
      </c>
      <c r="C152" s="10">
        <v>2124</v>
      </c>
      <c r="D152" s="131">
        <f t="shared" si="34"/>
        <v>0.70799999999999996</v>
      </c>
      <c r="E152" s="132">
        <v>1576</v>
      </c>
      <c r="F152" s="131">
        <f t="shared" si="35"/>
        <v>0.52533333333333332</v>
      </c>
      <c r="G152" s="133">
        <v>2317</v>
      </c>
      <c r="H152" s="131">
        <f t="shared" si="36"/>
        <v>0.77233333333333332</v>
      </c>
      <c r="I152" s="10">
        <v>750</v>
      </c>
      <c r="J152" s="12">
        <f t="shared" si="37"/>
        <v>0.25</v>
      </c>
      <c r="K152" s="10">
        <v>370</v>
      </c>
      <c r="L152" s="12">
        <f t="shared" si="38"/>
        <v>0.12333333333333334</v>
      </c>
      <c r="M152" s="10">
        <v>3600</v>
      </c>
      <c r="N152" s="12">
        <f t="shared" si="39"/>
        <v>1.2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6"/>
      <c r="Z152" s="6"/>
    </row>
    <row r="153" spans="1:26" ht="15.4" x14ac:dyDescent="0.55000000000000004">
      <c r="A153" s="13"/>
      <c r="B153" s="134">
        <f t="shared" ref="B153:C153" si="40">SUM(B142:B152)</f>
        <v>100378</v>
      </c>
      <c r="C153" s="23">
        <f t="shared" si="40"/>
        <v>93985</v>
      </c>
      <c r="D153" s="131">
        <f t="shared" si="34"/>
        <v>0.93631074538245429</v>
      </c>
      <c r="E153" s="135">
        <f>SUM(E142:E152)</f>
        <v>106229</v>
      </c>
      <c r="F153" s="131">
        <f t="shared" si="35"/>
        <v>1.0582896650660503</v>
      </c>
      <c r="G153" s="135">
        <f>SUM(G142:G152)</f>
        <v>118362</v>
      </c>
      <c r="H153" s="131">
        <f t="shared" si="36"/>
        <v>1.1791627647492477</v>
      </c>
      <c r="I153" s="23">
        <f>SUM(I142:I152)</f>
        <v>113897</v>
      </c>
      <c r="J153" s="12">
        <f t="shared" si="37"/>
        <v>1.1346809061746599</v>
      </c>
      <c r="K153" s="23">
        <f>SUM(K142:K152)</f>
        <v>115800</v>
      </c>
      <c r="L153" s="12">
        <f t="shared" si="38"/>
        <v>1.1536392436589691</v>
      </c>
      <c r="M153" s="23">
        <f>SUM(M142:M152)</f>
        <v>105918</v>
      </c>
      <c r="N153" s="12">
        <f t="shared" si="39"/>
        <v>1.0551913765964653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6"/>
      <c r="Z153" s="6"/>
    </row>
    <row r="154" spans="1:26" ht="15.4" x14ac:dyDescent="0.55000000000000004">
      <c r="A154" s="6"/>
      <c r="B154" s="6"/>
      <c r="C154" s="6"/>
      <c r="D154" s="6"/>
      <c r="E154" s="126"/>
      <c r="F154" s="6"/>
      <c r="G154" s="126"/>
      <c r="H154" s="6"/>
      <c r="I154" s="9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.5" customHeight="1" x14ac:dyDescent="0.55000000000000004">
      <c r="A155" s="6"/>
      <c r="B155" s="6"/>
      <c r="C155" s="6"/>
      <c r="D155" s="6"/>
      <c r="E155" s="126"/>
      <c r="F155" s="6"/>
      <c r="G155" s="12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4" x14ac:dyDescent="0.55000000000000004">
      <c r="A156" s="6"/>
      <c r="B156" s="6"/>
      <c r="C156" s="6"/>
      <c r="D156" s="6"/>
      <c r="E156" s="126"/>
      <c r="F156" s="6"/>
      <c r="G156" s="12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4" x14ac:dyDescent="0.55000000000000004">
      <c r="A157" s="6"/>
      <c r="B157" s="6"/>
      <c r="C157" s="6"/>
      <c r="D157" s="6"/>
      <c r="E157" s="126"/>
      <c r="F157" s="6"/>
      <c r="G157" s="12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4" x14ac:dyDescent="0.55000000000000004">
      <c r="A158" s="6"/>
      <c r="B158" s="6"/>
      <c r="C158" s="6"/>
      <c r="D158" s="6"/>
      <c r="E158" s="126"/>
      <c r="F158" s="6"/>
      <c r="G158" s="126"/>
      <c r="H158" s="33"/>
      <c r="I158" s="33"/>
      <c r="J158" s="33"/>
      <c r="K158" s="33"/>
      <c r="L158" s="33"/>
      <c r="M158" s="33"/>
      <c r="N158" s="3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4" x14ac:dyDescent="0.55000000000000004">
      <c r="A159" s="6"/>
      <c r="B159" s="6"/>
      <c r="E159" s="98"/>
      <c r="G159" s="98"/>
      <c r="H159" s="33"/>
      <c r="I159" s="33"/>
      <c r="J159" s="33"/>
      <c r="K159" s="33"/>
      <c r="L159" s="33"/>
      <c r="M159" s="33"/>
      <c r="N159" s="3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5" x14ac:dyDescent="0.6">
      <c r="A160" s="136"/>
      <c r="B160" s="137"/>
      <c r="C160" s="138"/>
      <c r="E160" s="98"/>
      <c r="G160" s="98"/>
      <c r="H160" s="33"/>
      <c r="I160" s="33"/>
      <c r="J160" s="33"/>
      <c r="K160" s="33"/>
      <c r="L160" s="33"/>
      <c r="M160" s="33"/>
      <c r="N160" s="3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5" x14ac:dyDescent="0.6">
      <c r="A161" s="136"/>
      <c r="B161" s="137"/>
      <c r="C161" s="138"/>
      <c r="E161" s="98"/>
      <c r="G161" s="98"/>
      <c r="H161" s="33"/>
      <c r="I161" s="33"/>
      <c r="J161" s="33"/>
      <c r="K161" s="33"/>
      <c r="L161" s="33"/>
      <c r="M161" s="33"/>
      <c r="N161" s="3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5" x14ac:dyDescent="0.6">
      <c r="A162" s="136"/>
      <c r="B162" s="137"/>
      <c r="C162" s="138"/>
      <c r="E162" s="98"/>
      <c r="G162" s="9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5" x14ac:dyDescent="0.6">
      <c r="A163" s="136"/>
      <c r="B163" s="137"/>
      <c r="C163" s="138"/>
      <c r="E163" s="98"/>
      <c r="G163" s="9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5" x14ac:dyDescent="0.6">
      <c r="A164" s="136"/>
      <c r="B164" s="137"/>
      <c r="C164" s="138"/>
      <c r="E164" s="98"/>
      <c r="G164" s="9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5" x14ac:dyDescent="0.6">
      <c r="A165" s="136"/>
      <c r="B165" s="137"/>
      <c r="C165" s="138"/>
      <c r="E165" s="98"/>
      <c r="G165" s="9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5" x14ac:dyDescent="0.6">
      <c r="A166" s="136"/>
      <c r="B166" s="137"/>
      <c r="C166" s="138"/>
      <c r="E166" s="98"/>
      <c r="G166" s="9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5" x14ac:dyDescent="0.6">
      <c r="A167" s="136"/>
      <c r="B167" s="137"/>
      <c r="C167" s="138"/>
      <c r="E167" s="98"/>
      <c r="G167" s="9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5" x14ac:dyDescent="0.6">
      <c r="A168" s="136"/>
      <c r="B168" s="137"/>
      <c r="C168" s="138"/>
      <c r="E168" s="98"/>
      <c r="G168" s="9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4" x14ac:dyDescent="0.55000000000000004">
      <c r="A169" s="6"/>
      <c r="B169" s="6"/>
      <c r="C169" s="139"/>
      <c r="E169" s="98"/>
      <c r="G169" s="9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4" x14ac:dyDescent="0.55000000000000004">
      <c r="A170" s="6"/>
      <c r="B170" s="6"/>
      <c r="E170" s="98"/>
      <c r="G170" s="9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4" x14ac:dyDescent="0.55000000000000004">
      <c r="A171" s="6"/>
      <c r="B171" s="6"/>
      <c r="C171" s="6"/>
      <c r="D171" s="6"/>
      <c r="E171" s="126"/>
      <c r="F171" s="6"/>
      <c r="G171" s="12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4" x14ac:dyDescent="0.55000000000000004">
      <c r="A172" s="6"/>
      <c r="B172" s="6"/>
      <c r="C172" s="6"/>
      <c r="D172" s="6"/>
      <c r="E172" s="126"/>
      <c r="F172" s="6"/>
      <c r="G172" s="12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4" x14ac:dyDescent="0.55000000000000004">
      <c r="A173" s="6"/>
      <c r="B173" s="6"/>
      <c r="C173" s="6"/>
      <c r="D173" s="6"/>
      <c r="E173" s="126"/>
      <c r="F173" s="6"/>
      <c r="G173" s="12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4" x14ac:dyDescent="0.55000000000000004">
      <c r="A174" s="6"/>
      <c r="B174" s="6"/>
      <c r="C174" s="6"/>
      <c r="D174" s="6"/>
      <c r="E174" s="126"/>
      <c r="F174" s="6"/>
      <c r="G174" s="12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4" x14ac:dyDescent="0.55000000000000004">
      <c r="A175" s="6"/>
      <c r="B175" s="6"/>
      <c r="C175" s="6"/>
      <c r="D175" s="6"/>
      <c r="E175" s="126"/>
      <c r="F175" s="6"/>
      <c r="G175" s="12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4" x14ac:dyDescent="0.55000000000000004">
      <c r="A176" s="6"/>
      <c r="B176" s="6"/>
      <c r="C176" s="6"/>
      <c r="D176" s="6"/>
      <c r="E176" s="126"/>
      <c r="F176" s="6"/>
      <c r="G176" s="12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4" x14ac:dyDescent="0.55000000000000004">
      <c r="A177" s="6"/>
      <c r="B177" s="6"/>
      <c r="C177" s="6"/>
      <c r="D177" s="6"/>
      <c r="E177" s="126"/>
      <c r="F177" s="6"/>
      <c r="G177" s="12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4" x14ac:dyDescent="0.55000000000000004">
      <c r="A178" s="6"/>
      <c r="B178" s="6"/>
      <c r="C178" s="6"/>
      <c r="D178" s="6"/>
      <c r="E178" s="126"/>
      <c r="F178" s="6"/>
      <c r="G178" s="12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4" x14ac:dyDescent="0.55000000000000004">
      <c r="A179" s="6"/>
      <c r="B179" s="6"/>
      <c r="C179" s="6"/>
      <c r="D179" s="6"/>
      <c r="E179" s="126"/>
      <c r="F179" s="6"/>
      <c r="G179" s="12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4" x14ac:dyDescent="0.55000000000000004">
      <c r="A180" s="6"/>
      <c r="B180" s="6"/>
      <c r="C180" s="6"/>
      <c r="D180" s="6"/>
      <c r="E180" s="126"/>
      <c r="F180" s="6"/>
      <c r="G180" s="12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4" x14ac:dyDescent="0.55000000000000004">
      <c r="A181" s="6"/>
      <c r="B181" s="6"/>
      <c r="C181" s="6"/>
      <c r="D181" s="6"/>
      <c r="E181" s="126"/>
      <c r="F181" s="6"/>
      <c r="G181" s="12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4" x14ac:dyDescent="0.55000000000000004">
      <c r="A182" s="6"/>
      <c r="B182" s="6"/>
      <c r="C182" s="6"/>
      <c r="D182" s="6"/>
      <c r="E182" s="126"/>
      <c r="F182" s="6"/>
      <c r="G182" s="12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4" x14ac:dyDescent="0.55000000000000004">
      <c r="A183" s="6"/>
      <c r="B183" s="6"/>
      <c r="C183" s="6"/>
      <c r="D183" s="6"/>
      <c r="E183" s="126"/>
      <c r="F183" s="6"/>
      <c r="G183" s="12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4" x14ac:dyDescent="0.55000000000000004">
      <c r="A184" s="6"/>
      <c r="B184" s="6"/>
      <c r="C184" s="6"/>
      <c r="D184" s="6"/>
      <c r="E184" s="126"/>
      <c r="F184" s="6"/>
      <c r="G184" s="12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4" x14ac:dyDescent="0.55000000000000004">
      <c r="A185" s="6"/>
      <c r="B185" s="6"/>
      <c r="C185" s="6"/>
      <c r="D185" s="6"/>
      <c r="E185" s="126"/>
      <c r="F185" s="6"/>
      <c r="G185" s="12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4" x14ac:dyDescent="0.55000000000000004">
      <c r="A186" s="6"/>
      <c r="B186" s="6"/>
      <c r="C186" s="6"/>
      <c r="D186" s="6"/>
      <c r="E186" s="126"/>
      <c r="F186" s="6"/>
      <c r="G186" s="12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4" x14ac:dyDescent="0.55000000000000004">
      <c r="A187" s="6"/>
      <c r="B187" s="94"/>
      <c r="C187" s="6"/>
      <c r="D187" s="6"/>
      <c r="E187" s="126"/>
      <c r="F187" s="6"/>
      <c r="G187" s="12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94"/>
      <c r="S187" s="6"/>
      <c r="T187" s="6"/>
      <c r="U187" s="6"/>
      <c r="V187" s="6"/>
      <c r="W187" s="6"/>
      <c r="X187" s="6"/>
      <c r="Y187" s="6"/>
      <c r="Z187" s="6"/>
    </row>
    <row r="188" spans="1:26" ht="15.4" x14ac:dyDescent="0.55000000000000004">
      <c r="A188" s="6"/>
      <c r="B188" s="94"/>
      <c r="C188" s="6"/>
      <c r="D188" s="6"/>
      <c r="E188" s="126"/>
      <c r="F188" s="6"/>
      <c r="G188" s="12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94"/>
      <c r="S188" s="6"/>
      <c r="T188" s="6"/>
      <c r="U188" s="6"/>
      <c r="V188" s="6"/>
      <c r="W188" s="6"/>
      <c r="X188" s="6"/>
      <c r="Y188" s="6"/>
      <c r="Z188" s="6"/>
    </row>
    <row r="189" spans="1:26" ht="15.4" x14ac:dyDescent="0.55000000000000004">
      <c r="A189" s="6" t="s">
        <v>3</v>
      </c>
      <c r="B189" s="94">
        <f>C153</f>
        <v>93985</v>
      </c>
      <c r="C189" s="6"/>
      <c r="D189" s="6"/>
      <c r="E189" s="126"/>
      <c r="F189" s="6"/>
      <c r="G189" s="12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94"/>
      <c r="S189" s="6"/>
      <c r="T189" s="6"/>
      <c r="U189" s="6"/>
      <c r="V189" s="6"/>
      <c r="W189" s="6"/>
      <c r="X189" s="6"/>
      <c r="Y189" s="6"/>
      <c r="Z189" s="6"/>
    </row>
    <row r="190" spans="1:26" ht="15.4" x14ac:dyDescent="0.55000000000000004">
      <c r="A190" s="6" t="s">
        <v>5</v>
      </c>
      <c r="B190" s="94">
        <f>E153</f>
        <v>106229</v>
      </c>
      <c r="C190" s="6"/>
      <c r="D190" s="6"/>
      <c r="E190" s="126"/>
      <c r="F190" s="6"/>
      <c r="G190" s="12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94"/>
      <c r="S190" s="6"/>
      <c r="T190" s="6"/>
      <c r="U190" s="6"/>
      <c r="V190" s="6"/>
      <c r="W190" s="6"/>
      <c r="X190" s="6"/>
      <c r="Y190" s="6"/>
      <c r="Z190" s="6"/>
    </row>
    <row r="191" spans="1:26" ht="15.4" x14ac:dyDescent="0.55000000000000004">
      <c r="A191" s="6" t="s">
        <v>6</v>
      </c>
      <c r="B191" s="94">
        <f>G153</f>
        <v>118362</v>
      </c>
      <c r="C191" s="6"/>
      <c r="D191" s="6"/>
      <c r="E191" s="126"/>
      <c r="F191" s="6"/>
      <c r="G191" s="12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4" x14ac:dyDescent="0.55000000000000004">
      <c r="A192" s="6" t="s">
        <v>101</v>
      </c>
      <c r="B192" s="94">
        <f>I153</f>
        <v>113897</v>
      </c>
      <c r="C192" s="6"/>
      <c r="D192" s="6"/>
      <c r="E192" s="126"/>
      <c r="F192" s="6"/>
      <c r="G192" s="12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4" x14ac:dyDescent="0.55000000000000004">
      <c r="A193" s="6" t="s">
        <v>8</v>
      </c>
      <c r="B193" s="94">
        <v>116014</v>
      </c>
      <c r="C193" s="6"/>
      <c r="D193" s="6"/>
      <c r="E193" s="126"/>
      <c r="F193" s="6"/>
      <c r="G193" s="12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4" x14ac:dyDescent="0.55000000000000004">
      <c r="A194" s="6" t="s">
        <v>9</v>
      </c>
      <c r="B194" s="94">
        <v>105918</v>
      </c>
      <c r="C194" s="6"/>
      <c r="D194" s="6"/>
      <c r="E194" s="126"/>
      <c r="F194" s="6"/>
      <c r="G194" s="12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4" x14ac:dyDescent="0.55000000000000004">
      <c r="A195" s="6"/>
      <c r="B195" s="94"/>
      <c r="C195" s="6"/>
      <c r="D195" s="6"/>
      <c r="E195" s="126"/>
      <c r="F195" s="6"/>
      <c r="G195" s="12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4" x14ac:dyDescent="0.55000000000000004">
      <c r="A196" s="140"/>
      <c r="B196" s="141"/>
      <c r="C196" s="142"/>
      <c r="D196" s="142"/>
      <c r="E196" s="142"/>
      <c r="F196" s="142"/>
      <c r="G196" s="12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4" x14ac:dyDescent="0.55000000000000004">
      <c r="A197" s="6"/>
      <c r="B197" s="143"/>
      <c r="C197" s="144"/>
      <c r="D197" s="144"/>
      <c r="E197" s="144"/>
      <c r="F197" s="144"/>
      <c r="G197" s="12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4" x14ac:dyDescent="0.55000000000000004">
      <c r="A198" s="6"/>
      <c r="B198" s="143"/>
      <c r="C198" s="144"/>
      <c r="D198" s="144"/>
      <c r="E198" s="144"/>
      <c r="F198" s="144"/>
      <c r="G198" s="12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4" x14ac:dyDescent="0.55000000000000004">
      <c r="A199" s="6"/>
      <c r="B199" s="143"/>
      <c r="C199" s="144"/>
      <c r="D199" s="144"/>
      <c r="E199" s="144"/>
      <c r="F199" s="144"/>
      <c r="G199" s="12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4" x14ac:dyDescent="0.55000000000000004">
      <c r="A200" s="6"/>
      <c r="B200" s="143"/>
      <c r="C200" s="144"/>
      <c r="D200" s="144"/>
      <c r="E200" s="144"/>
      <c r="F200" s="144"/>
      <c r="G200" s="12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4" x14ac:dyDescent="0.55000000000000004">
      <c r="A201" s="6"/>
      <c r="B201" s="144"/>
      <c r="C201" s="144"/>
      <c r="D201" s="144"/>
      <c r="E201" s="144"/>
      <c r="F201" s="144"/>
      <c r="G201" s="12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4" x14ac:dyDescent="0.55000000000000004">
      <c r="A202" s="6"/>
      <c r="B202" s="6"/>
      <c r="C202" s="6"/>
      <c r="D202" s="6"/>
      <c r="E202" s="6"/>
      <c r="F202" s="6"/>
      <c r="G202" s="12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4" x14ac:dyDescent="0.55000000000000004">
      <c r="A203" s="6"/>
      <c r="B203" s="6"/>
      <c r="C203" s="6"/>
      <c r="D203" s="6"/>
      <c r="E203" s="126"/>
      <c r="F203" s="6"/>
      <c r="G203" s="12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4" x14ac:dyDescent="0.55000000000000004">
      <c r="A204" s="6"/>
      <c r="B204" s="6"/>
      <c r="C204" s="6"/>
      <c r="D204" s="6"/>
      <c r="E204" s="126"/>
      <c r="F204" s="6"/>
      <c r="G204" s="12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4" x14ac:dyDescent="0.55000000000000004">
      <c r="A205" s="6"/>
      <c r="B205" s="6"/>
      <c r="C205" s="6"/>
      <c r="D205" s="6"/>
      <c r="E205" s="126"/>
      <c r="F205" s="6"/>
      <c r="G205" s="12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4" x14ac:dyDescent="0.55000000000000004">
      <c r="A206" s="6"/>
      <c r="B206" s="6"/>
      <c r="C206" s="6"/>
      <c r="D206" s="6"/>
      <c r="E206" s="126"/>
      <c r="F206" s="6"/>
      <c r="G206" s="12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4" x14ac:dyDescent="0.55000000000000004">
      <c r="A207" s="6"/>
      <c r="B207" s="6"/>
      <c r="C207" s="6"/>
      <c r="D207" s="6"/>
      <c r="E207" s="126"/>
      <c r="F207" s="6"/>
      <c r="G207" s="12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4" x14ac:dyDescent="0.55000000000000004">
      <c r="A208" s="6"/>
      <c r="B208" s="6"/>
      <c r="C208" s="6"/>
      <c r="D208" s="6"/>
      <c r="E208" s="126"/>
      <c r="F208" s="6"/>
      <c r="G208" s="12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4" x14ac:dyDescent="0.55000000000000004">
      <c r="A209" s="6"/>
      <c r="B209" s="6"/>
      <c r="C209" s="6"/>
      <c r="D209" s="6"/>
      <c r="E209" s="126"/>
      <c r="F209" s="6"/>
      <c r="G209" s="12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4" x14ac:dyDescent="0.55000000000000004">
      <c r="A210" s="6"/>
      <c r="B210" s="6"/>
      <c r="C210" s="6"/>
      <c r="D210" s="6"/>
      <c r="E210" s="126"/>
      <c r="F210" s="6"/>
      <c r="G210" s="12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4" x14ac:dyDescent="0.55000000000000004">
      <c r="A211" s="6"/>
      <c r="B211" s="6"/>
      <c r="C211" s="6"/>
      <c r="D211" s="6"/>
      <c r="E211" s="126"/>
      <c r="F211" s="6"/>
      <c r="G211" s="12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4" x14ac:dyDescent="0.55000000000000004">
      <c r="A212" s="6"/>
      <c r="B212" s="6"/>
      <c r="C212" s="6"/>
      <c r="D212" s="6"/>
      <c r="E212" s="126"/>
      <c r="F212" s="6"/>
      <c r="G212" s="12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4" x14ac:dyDescent="0.55000000000000004">
      <c r="A213" s="6"/>
      <c r="B213" s="6"/>
      <c r="C213" s="6"/>
      <c r="D213" s="6"/>
      <c r="E213" s="126"/>
      <c r="F213" s="6"/>
      <c r="G213" s="12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4" x14ac:dyDescent="0.55000000000000004">
      <c r="A214" s="6"/>
      <c r="B214" s="6"/>
      <c r="C214" s="6"/>
      <c r="D214" s="6"/>
      <c r="E214" s="126"/>
      <c r="F214" s="6"/>
      <c r="G214" s="12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4" x14ac:dyDescent="0.55000000000000004">
      <c r="A215" s="6"/>
      <c r="B215" s="6"/>
      <c r="C215" s="6"/>
      <c r="D215" s="6"/>
      <c r="E215" s="126"/>
      <c r="F215" s="6"/>
      <c r="G215" s="12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4" x14ac:dyDescent="0.55000000000000004">
      <c r="A216" s="6"/>
      <c r="B216" s="6"/>
      <c r="C216" s="6"/>
      <c r="D216" s="6"/>
      <c r="E216" s="126"/>
      <c r="F216" s="6"/>
      <c r="G216" s="12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4" x14ac:dyDescent="0.55000000000000004">
      <c r="A217" s="6"/>
      <c r="B217" s="6"/>
      <c r="C217" s="6"/>
      <c r="D217" s="6"/>
      <c r="E217" s="126"/>
      <c r="F217" s="6"/>
      <c r="G217" s="12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4" x14ac:dyDescent="0.55000000000000004">
      <c r="A218" s="6"/>
      <c r="B218" s="6"/>
      <c r="C218" s="6"/>
      <c r="D218" s="6"/>
      <c r="E218" s="126"/>
      <c r="F218" s="6"/>
      <c r="G218" s="12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4" x14ac:dyDescent="0.55000000000000004">
      <c r="A219" s="6"/>
      <c r="B219" s="6"/>
      <c r="C219" s="6"/>
      <c r="D219" s="6"/>
      <c r="E219" s="126"/>
      <c r="F219" s="6"/>
      <c r="G219" s="12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4" x14ac:dyDescent="0.55000000000000004">
      <c r="A220" s="6"/>
      <c r="B220" s="6"/>
      <c r="C220" s="6"/>
      <c r="D220" s="6"/>
      <c r="E220" s="126"/>
      <c r="F220" s="6"/>
      <c r="G220" s="12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4" x14ac:dyDescent="0.55000000000000004">
      <c r="A221" s="6"/>
      <c r="B221" s="6"/>
      <c r="C221" s="6"/>
      <c r="D221" s="6"/>
      <c r="E221" s="126"/>
      <c r="F221" s="6"/>
      <c r="G221" s="12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4" x14ac:dyDescent="0.55000000000000004">
      <c r="A222" s="6"/>
      <c r="B222" s="6"/>
      <c r="C222" s="6"/>
      <c r="D222" s="6"/>
      <c r="E222" s="126"/>
      <c r="F222" s="6"/>
      <c r="G222" s="12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4" x14ac:dyDescent="0.55000000000000004">
      <c r="A223" s="6"/>
      <c r="B223" s="6"/>
      <c r="C223" s="6"/>
      <c r="D223" s="6"/>
      <c r="E223" s="126"/>
      <c r="F223" s="6"/>
      <c r="G223" s="12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4" x14ac:dyDescent="0.55000000000000004">
      <c r="A224" s="6"/>
      <c r="B224" s="6"/>
      <c r="C224" s="6"/>
      <c r="D224" s="6"/>
      <c r="E224" s="126"/>
      <c r="F224" s="6"/>
      <c r="G224" s="12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4" x14ac:dyDescent="0.55000000000000004">
      <c r="A225" s="6"/>
      <c r="B225" s="6"/>
      <c r="C225" s="6"/>
      <c r="D225" s="6"/>
      <c r="E225" s="126"/>
      <c r="F225" s="6"/>
      <c r="G225" s="12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4" x14ac:dyDescent="0.55000000000000004">
      <c r="A226" s="6"/>
      <c r="B226" s="6"/>
      <c r="C226" s="6"/>
      <c r="D226" s="6"/>
      <c r="E226" s="126"/>
      <c r="F226" s="6"/>
      <c r="G226" s="12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4" x14ac:dyDescent="0.55000000000000004">
      <c r="A227" s="6"/>
      <c r="B227" s="6"/>
      <c r="C227" s="6"/>
      <c r="D227" s="6"/>
      <c r="E227" s="126"/>
      <c r="F227" s="6"/>
      <c r="G227" s="12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4" x14ac:dyDescent="0.55000000000000004">
      <c r="A228" s="6"/>
      <c r="B228" s="6"/>
      <c r="C228" s="6"/>
      <c r="D228" s="6"/>
      <c r="E228" s="126"/>
      <c r="F228" s="6"/>
      <c r="G228" s="12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4" x14ac:dyDescent="0.55000000000000004">
      <c r="A229" s="6"/>
      <c r="B229" s="6"/>
      <c r="C229" s="6"/>
      <c r="D229" s="6"/>
      <c r="E229" s="126"/>
      <c r="F229" s="6"/>
      <c r="G229" s="12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4" x14ac:dyDescent="0.55000000000000004">
      <c r="A230" s="6"/>
      <c r="B230" s="6"/>
      <c r="C230" s="6"/>
      <c r="D230" s="6"/>
      <c r="E230" s="126"/>
      <c r="F230" s="6"/>
      <c r="G230" s="12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4" x14ac:dyDescent="0.55000000000000004">
      <c r="A231" s="6"/>
      <c r="B231" s="6"/>
      <c r="C231" s="6"/>
      <c r="D231" s="6"/>
      <c r="E231" s="126"/>
      <c r="F231" s="6"/>
      <c r="G231" s="12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4" x14ac:dyDescent="0.55000000000000004">
      <c r="A232" s="6"/>
      <c r="B232" s="6"/>
      <c r="C232" s="6"/>
      <c r="D232" s="6"/>
      <c r="E232" s="126"/>
      <c r="F232" s="6"/>
      <c r="G232" s="12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4" x14ac:dyDescent="0.55000000000000004">
      <c r="A233" s="6"/>
      <c r="B233" s="6"/>
      <c r="C233" s="6"/>
      <c r="D233" s="6"/>
      <c r="E233" s="126"/>
      <c r="F233" s="6"/>
      <c r="G233" s="12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4" x14ac:dyDescent="0.55000000000000004">
      <c r="A234" s="6"/>
      <c r="B234" s="6"/>
      <c r="C234" s="6"/>
      <c r="D234" s="6"/>
      <c r="E234" s="126"/>
      <c r="F234" s="6"/>
      <c r="G234" s="12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4" x14ac:dyDescent="0.55000000000000004">
      <c r="A235" s="6"/>
      <c r="B235" s="6"/>
      <c r="C235" s="6"/>
      <c r="D235" s="6"/>
      <c r="E235" s="126"/>
      <c r="F235" s="6"/>
      <c r="G235" s="12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4" x14ac:dyDescent="0.55000000000000004">
      <c r="A236" s="6"/>
      <c r="B236" s="6"/>
      <c r="C236" s="6"/>
      <c r="D236" s="6"/>
      <c r="E236" s="126"/>
      <c r="F236" s="6"/>
      <c r="G236" s="12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4" x14ac:dyDescent="0.55000000000000004">
      <c r="A237" s="6"/>
      <c r="B237" s="6"/>
      <c r="C237" s="6"/>
      <c r="D237" s="6"/>
      <c r="E237" s="126"/>
      <c r="F237" s="6"/>
      <c r="G237" s="12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4" x14ac:dyDescent="0.55000000000000004">
      <c r="A238" s="6"/>
      <c r="B238" s="6"/>
      <c r="C238" s="6"/>
      <c r="D238" s="6"/>
      <c r="E238" s="126"/>
      <c r="F238" s="6"/>
      <c r="G238" s="12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4" x14ac:dyDescent="0.55000000000000004">
      <c r="A239" s="6"/>
      <c r="B239" s="6"/>
      <c r="C239" s="6"/>
      <c r="D239" s="6"/>
      <c r="E239" s="126"/>
      <c r="F239" s="6"/>
      <c r="G239" s="12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4" x14ac:dyDescent="0.55000000000000004">
      <c r="A240" s="6"/>
      <c r="B240" s="6"/>
      <c r="C240" s="6"/>
      <c r="D240" s="6"/>
      <c r="E240" s="126"/>
      <c r="F240" s="6"/>
      <c r="G240" s="12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4" x14ac:dyDescent="0.55000000000000004">
      <c r="A241" s="6"/>
      <c r="B241" s="6"/>
      <c r="C241" s="6"/>
      <c r="D241" s="6"/>
      <c r="E241" s="126"/>
      <c r="F241" s="6"/>
      <c r="G241" s="12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4" x14ac:dyDescent="0.55000000000000004">
      <c r="A242" s="6"/>
      <c r="B242" s="6"/>
      <c r="C242" s="6"/>
      <c r="D242" s="6"/>
      <c r="E242" s="126"/>
      <c r="F242" s="6"/>
      <c r="G242" s="12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4" x14ac:dyDescent="0.55000000000000004">
      <c r="A243" s="6"/>
      <c r="B243" s="6"/>
      <c r="C243" s="6"/>
      <c r="D243" s="6"/>
      <c r="E243" s="126"/>
      <c r="F243" s="6"/>
      <c r="G243" s="12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4" x14ac:dyDescent="0.55000000000000004">
      <c r="A244" s="6"/>
      <c r="B244" s="6"/>
      <c r="C244" s="6"/>
      <c r="D244" s="6"/>
      <c r="E244" s="126"/>
      <c r="F244" s="6"/>
      <c r="G244" s="12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4" x14ac:dyDescent="0.55000000000000004">
      <c r="A245" s="6"/>
      <c r="B245" s="6"/>
      <c r="C245" s="6"/>
      <c r="D245" s="6"/>
      <c r="E245" s="126"/>
      <c r="F245" s="6"/>
      <c r="G245" s="12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4" x14ac:dyDescent="0.55000000000000004">
      <c r="A246" s="6"/>
      <c r="B246" s="6"/>
      <c r="C246" s="6"/>
      <c r="D246" s="6"/>
      <c r="E246" s="126"/>
      <c r="F246" s="6"/>
      <c r="G246" s="12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4" x14ac:dyDescent="0.55000000000000004">
      <c r="A247" s="6"/>
      <c r="B247" s="6"/>
      <c r="C247" s="6"/>
      <c r="D247" s="6"/>
      <c r="E247" s="126"/>
      <c r="F247" s="6"/>
      <c r="G247" s="12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4" x14ac:dyDescent="0.55000000000000004">
      <c r="A248" s="6"/>
      <c r="B248" s="6"/>
      <c r="C248" s="6"/>
      <c r="D248" s="6"/>
      <c r="E248" s="126"/>
      <c r="F248" s="6"/>
      <c r="G248" s="12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4" x14ac:dyDescent="0.55000000000000004">
      <c r="A249" s="6"/>
      <c r="B249" s="6"/>
      <c r="C249" s="6"/>
      <c r="D249" s="6"/>
      <c r="E249" s="126"/>
      <c r="F249" s="6"/>
      <c r="G249" s="12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4" x14ac:dyDescent="0.55000000000000004">
      <c r="A250" s="6"/>
      <c r="B250" s="6"/>
      <c r="C250" s="6"/>
      <c r="D250" s="6"/>
      <c r="E250" s="126"/>
      <c r="F250" s="6"/>
      <c r="G250" s="12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4" x14ac:dyDescent="0.55000000000000004">
      <c r="A251" s="6"/>
      <c r="B251" s="6"/>
      <c r="C251" s="6"/>
      <c r="D251" s="6"/>
      <c r="E251" s="126"/>
      <c r="F251" s="6"/>
      <c r="G251" s="12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4" x14ac:dyDescent="0.55000000000000004">
      <c r="A252" s="6"/>
      <c r="B252" s="6"/>
      <c r="C252" s="6"/>
      <c r="D252" s="6"/>
      <c r="E252" s="126"/>
      <c r="F252" s="6"/>
      <c r="G252" s="12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4" x14ac:dyDescent="0.55000000000000004">
      <c r="A253" s="6"/>
      <c r="B253" s="6"/>
      <c r="C253" s="6"/>
      <c r="D253" s="6"/>
      <c r="E253" s="126"/>
      <c r="F253" s="6"/>
      <c r="G253" s="12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4" x14ac:dyDescent="0.55000000000000004">
      <c r="A254" s="6"/>
      <c r="B254" s="6"/>
      <c r="C254" s="6"/>
      <c r="D254" s="6"/>
      <c r="E254" s="126"/>
      <c r="F254" s="6"/>
      <c r="G254" s="12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4" x14ac:dyDescent="0.55000000000000004">
      <c r="A255" s="6"/>
      <c r="B255" s="6"/>
      <c r="C255" s="6"/>
      <c r="D255" s="6"/>
      <c r="E255" s="126"/>
      <c r="F255" s="6"/>
      <c r="G255" s="12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4" x14ac:dyDescent="0.55000000000000004">
      <c r="A256" s="6"/>
      <c r="B256" s="6"/>
      <c r="C256" s="6"/>
      <c r="D256" s="6"/>
      <c r="E256" s="126"/>
      <c r="F256" s="6"/>
      <c r="G256" s="12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4" x14ac:dyDescent="0.55000000000000004">
      <c r="A257" s="6"/>
      <c r="B257" s="6"/>
      <c r="C257" s="6"/>
      <c r="D257" s="6"/>
      <c r="E257" s="126"/>
      <c r="F257" s="6"/>
      <c r="G257" s="12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4" x14ac:dyDescent="0.55000000000000004">
      <c r="A258" s="6"/>
      <c r="B258" s="6"/>
      <c r="C258" s="6"/>
      <c r="D258" s="6"/>
      <c r="E258" s="126"/>
      <c r="F258" s="6"/>
      <c r="G258" s="12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4" x14ac:dyDescent="0.55000000000000004">
      <c r="A259" s="6"/>
      <c r="B259" s="6"/>
      <c r="C259" s="6"/>
      <c r="D259" s="6"/>
      <c r="E259" s="126"/>
      <c r="F259" s="6"/>
      <c r="G259" s="12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4" x14ac:dyDescent="0.55000000000000004">
      <c r="A260" s="6"/>
      <c r="B260" s="6"/>
      <c r="C260" s="6"/>
      <c r="D260" s="6"/>
      <c r="E260" s="126"/>
      <c r="F260" s="6"/>
      <c r="G260" s="12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4" x14ac:dyDescent="0.55000000000000004">
      <c r="A261" s="6"/>
      <c r="B261" s="6"/>
      <c r="C261" s="6"/>
      <c r="D261" s="6"/>
      <c r="E261" s="126"/>
      <c r="F261" s="6"/>
      <c r="G261" s="12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4" x14ac:dyDescent="0.55000000000000004">
      <c r="A262" s="6"/>
      <c r="B262" s="6"/>
      <c r="C262" s="6"/>
      <c r="D262" s="6"/>
      <c r="E262" s="126"/>
      <c r="F262" s="6"/>
      <c r="G262" s="12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4" x14ac:dyDescent="0.55000000000000004">
      <c r="A263" s="6"/>
      <c r="B263" s="6"/>
      <c r="C263" s="6"/>
      <c r="D263" s="6"/>
      <c r="E263" s="126"/>
      <c r="F263" s="6"/>
      <c r="G263" s="12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4" x14ac:dyDescent="0.55000000000000004">
      <c r="A264" s="6"/>
      <c r="B264" s="6"/>
      <c r="C264" s="6"/>
      <c r="D264" s="6"/>
      <c r="E264" s="126"/>
      <c r="F264" s="6"/>
      <c r="G264" s="12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4" x14ac:dyDescent="0.55000000000000004">
      <c r="A265" s="6"/>
      <c r="B265" s="6"/>
      <c r="C265" s="6"/>
      <c r="D265" s="6"/>
      <c r="E265" s="126"/>
      <c r="F265" s="6"/>
      <c r="G265" s="12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4" x14ac:dyDescent="0.55000000000000004">
      <c r="A266" s="6"/>
      <c r="B266" s="6"/>
      <c r="C266" s="6"/>
      <c r="D266" s="6"/>
      <c r="E266" s="126"/>
      <c r="F266" s="6"/>
      <c r="G266" s="12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4" x14ac:dyDescent="0.55000000000000004">
      <c r="A267" s="6"/>
      <c r="B267" s="6"/>
      <c r="C267" s="6"/>
      <c r="D267" s="6"/>
      <c r="E267" s="126"/>
      <c r="F267" s="6"/>
      <c r="G267" s="12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4" x14ac:dyDescent="0.55000000000000004">
      <c r="A268" s="6"/>
      <c r="B268" s="6"/>
      <c r="C268" s="6"/>
      <c r="D268" s="6"/>
      <c r="E268" s="126"/>
      <c r="F268" s="6"/>
      <c r="G268" s="12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4" x14ac:dyDescent="0.55000000000000004">
      <c r="A269" s="6"/>
      <c r="B269" s="6"/>
      <c r="C269" s="6"/>
      <c r="D269" s="6"/>
      <c r="E269" s="126"/>
      <c r="F269" s="6"/>
      <c r="G269" s="12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4" x14ac:dyDescent="0.55000000000000004">
      <c r="A270" s="6"/>
      <c r="B270" s="6"/>
      <c r="C270" s="6"/>
      <c r="D270" s="6"/>
      <c r="E270" s="126"/>
      <c r="F270" s="6"/>
      <c r="G270" s="12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4" x14ac:dyDescent="0.55000000000000004">
      <c r="A271" s="6"/>
      <c r="B271" s="6"/>
      <c r="C271" s="6"/>
      <c r="D271" s="6"/>
      <c r="E271" s="126"/>
      <c r="F271" s="6"/>
      <c r="G271" s="12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4" x14ac:dyDescent="0.55000000000000004">
      <c r="A272" s="6"/>
      <c r="B272" s="6"/>
      <c r="C272" s="6"/>
      <c r="D272" s="6"/>
      <c r="E272" s="126"/>
      <c r="F272" s="6"/>
      <c r="G272" s="12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4" x14ac:dyDescent="0.55000000000000004">
      <c r="A273" s="6"/>
      <c r="B273" s="6"/>
      <c r="C273" s="6"/>
      <c r="D273" s="6"/>
      <c r="E273" s="126"/>
      <c r="F273" s="6"/>
      <c r="G273" s="12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4" x14ac:dyDescent="0.55000000000000004">
      <c r="A274" s="6"/>
      <c r="B274" s="6"/>
      <c r="C274" s="6"/>
      <c r="D274" s="6"/>
      <c r="E274" s="126"/>
      <c r="F274" s="6"/>
      <c r="G274" s="12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4" x14ac:dyDescent="0.55000000000000004">
      <c r="A275" s="6"/>
      <c r="B275" s="6"/>
      <c r="C275" s="6"/>
      <c r="D275" s="6"/>
      <c r="E275" s="126"/>
      <c r="F275" s="6"/>
      <c r="G275" s="12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4" x14ac:dyDescent="0.55000000000000004">
      <c r="A276" s="6"/>
      <c r="B276" s="6"/>
      <c r="C276" s="6"/>
      <c r="D276" s="6"/>
      <c r="E276" s="126"/>
      <c r="F276" s="6"/>
      <c r="G276" s="12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4" x14ac:dyDescent="0.55000000000000004">
      <c r="A277" s="6"/>
      <c r="B277" s="6"/>
      <c r="C277" s="6"/>
      <c r="D277" s="6"/>
      <c r="E277" s="126"/>
      <c r="F277" s="6"/>
      <c r="G277" s="12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4" x14ac:dyDescent="0.55000000000000004">
      <c r="A278" s="6"/>
      <c r="B278" s="6"/>
      <c r="C278" s="6"/>
      <c r="D278" s="6"/>
      <c r="E278" s="126"/>
      <c r="F278" s="6"/>
      <c r="G278" s="12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4" x14ac:dyDescent="0.55000000000000004">
      <c r="A279" s="6"/>
      <c r="B279" s="6"/>
      <c r="C279" s="6"/>
      <c r="D279" s="6"/>
      <c r="E279" s="126"/>
      <c r="F279" s="6"/>
      <c r="G279" s="12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4" x14ac:dyDescent="0.55000000000000004">
      <c r="A280" s="6"/>
      <c r="B280" s="6"/>
      <c r="C280" s="6"/>
      <c r="D280" s="6"/>
      <c r="E280" s="126"/>
      <c r="F280" s="6"/>
      <c r="G280" s="12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4" x14ac:dyDescent="0.55000000000000004">
      <c r="A281" s="6"/>
      <c r="B281" s="6"/>
      <c r="C281" s="6"/>
      <c r="D281" s="6"/>
      <c r="E281" s="126"/>
      <c r="F281" s="6"/>
      <c r="G281" s="12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4" x14ac:dyDescent="0.55000000000000004">
      <c r="A282" s="6"/>
      <c r="B282" s="6"/>
      <c r="C282" s="6"/>
      <c r="D282" s="6"/>
      <c r="E282" s="126"/>
      <c r="F282" s="6"/>
      <c r="G282" s="12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4" x14ac:dyDescent="0.55000000000000004">
      <c r="A283" s="6"/>
      <c r="B283" s="6"/>
      <c r="C283" s="6"/>
      <c r="D283" s="6"/>
      <c r="E283" s="126"/>
      <c r="F283" s="6"/>
      <c r="G283" s="12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4" x14ac:dyDescent="0.55000000000000004">
      <c r="A284" s="6"/>
      <c r="B284" s="6"/>
      <c r="C284" s="6"/>
      <c r="D284" s="6"/>
      <c r="E284" s="126"/>
      <c r="F284" s="6"/>
      <c r="G284" s="12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4" x14ac:dyDescent="0.55000000000000004">
      <c r="A285" s="6"/>
      <c r="B285" s="6"/>
      <c r="C285" s="6"/>
      <c r="D285" s="6"/>
      <c r="E285" s="126"/>
      <c r="F285" s="6"/>
      <c r="G285" s="12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4" x14ac:dyDescent="0.55000000000000004">
      <c r="A286" s="6"/>
      <c r="B286" s="6"/>
      <c r="C286" s="6"/>
      <c r="D286" s="6"/>
      <c r="E286" s="126"/>
      <c r="F286" s="6"/>
      <c r="G286" s="12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4" x14ac:dyDescent="0.55000000000000004">
      <c r="A287" s="6"/>
      <c r="B287" s="6"/>
      <c r="C287" s="6"/>
      <c r="D287" s="6"/>
      <c r="E287" s="126"/>
      <c r="F287" s="6"/>
      <c r="G287" s="12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4" x14ac:dyDescent="0.55000000000000004">
      <c r="A288" s="6"/>
      <c r="B288" s="6"/>
      <c r="C288" s="6"/>
      <c r="D288" s="6"/>
      <c r="E288" s="126"/>
      <c r="F288" s="6"/>
      <c r="G288" s="12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4" x14ac:dyDescent="0.55000000000000004">
      <c r="A289" s="6"/>
      <c r="B289" s="6"/>
      <c r="C289" s="6"/>
      <c r="D289" s="6"/>
      <c r="E289" s="126"/>
      <c r="F289" s="6"/>
      <c r="G289" s="12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4" x14ac:dyDescent="0.55000000000000004">
      <c r="A290" s="6"/>
      <c r="B290" s="6"/>
      <c r="C290" s="6"/>
      <c r="D290" s="6"/>
      <c r="E290" s="126"/>
      <c r="F290" s="6"/>
      <c r="G290" s="12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4" x14ac:dyDescent="0.55000000000000004">
      <c r="A291" s="6"/>
      <c r="B291" s="6"/>
      <c r="C291" s="6"/>
      <c r="D291" s="6"/>
      <c r="E291" s="126"/>
      <c r="F291" s="6"/>
      <c r="G291" s="12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4" x14ac:dyDescent="0.55000000000000004">
      <c r="A292" s="6"/>
      <c r="B292" s="6"/>
      <c r="C292" s="6"/>
      <c r="D292" s="6"/>
      <c r="E292" s="126"/>
      <c r="F292" s="6"/>
      <c r="G292" s="12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4" x14ac:dyDescent="0.55000000000000004">
      <c r="A293" s="6"/>
      <c r="B293" s="6"/>
      <c r="C293" s="6"/>
      <c r="D293" s="6"/>
      <c r="E293" s="126"/>
      <c r="F293" s="6"/>
      <c r="G293" s="12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4" x14ac:dyDescent="0.55000000000000004">
      <c r="A294" s="6"/>
      <c r="B294" s="6"/>
      <c r="C294" s="6"/>
      <c r="D294" s="6"/>
      <c r="E294" s="126"/>
      <c r="F294" s="6"/>
      <c r="G294" s="12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4" x14ac:dyDescent="0.55000000000000004">
      <c r="A295" s="6"/>
      <c r="B295" s="6"/>
      <c r="C295" s="6"/>
      <c r="D295" s="6"/>
      <c r="E295" s="126"/>
      <c r="F295" s="6"/>
      <c r="G295" s="12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4" x14ac:dyDescent="0.55000000000000004">
      <c r="A296" s="6"/>
      <c r="B296" s="6"/>
      <c r="C296" s="6"/>
      <c r="D296" s="6"/>
      <c r="E296" s="126"/>
      <c r="F296" s="6"/>
      <c r="G296" s="12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4" x14ac:dyDescent="0.55000000000000004">
      <c r="A297" s="6"/>
      <c r="B297" s="6"/>
      <c r="C297" s="6"/>
      <c r="D297" s="6"/>
      <c r="E297" s="126"/>
      <c r="F297" s="6"/>
      <c r="G297" s="12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4" x14ac:dyDescent="0.55000000000000004">
      <c r="A298" s="6"/>
      <c r="B298" s="6"/>
      <c r="C298" s="6"/>
      <c r="D298" s="6"/>
      <c r="E298" s="126"/>
      <c r="F298" s="6"/>
      <c r="G298" s="12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4" x14ac:dyDescent="0.55000000000000004">
      <c r="A299" s="6"/>
      <c r="B299" s="6"/>
      <c r="C299" s="6"/>
      <c r="D299" s="6"/>
      <c r="E299" s="126"/>
      <c r="F299" s="6"/>
      <c r="G299" s="12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4" x14ac:dyDescent="0.55000000000000004">
      <c r="A300" s="6"/>
      <c r="B300" s="6"/>
      <c r="C300" s="6"/>
      <c r="D300" s="6"/>
      <c r="E300" s="126"/>
      <c r="F300" s="6"/>
      <c r="G300" s="12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4" x14ac:dyDescent="0.55000000000000004">
      <c r="A301" s="6"/>
      <c r="B301" s="6"/>
      <c r="C301" s="6"/>
      <c r="D301" s="6"/>
      <c r="E301" s="126"/>
      <c r="F301" s="6"/>
      <c r="G301" s="12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4" x14ac:dyDescent="0.55000000000000004">
      <c r="A302" s="6"/>
      <c r="B302" s="6"/>
      <c r="C302" s="6"/>
      <c r="D302" s="6"/>
      <c r="E302" s="126"/>
      <c r="F302" s="6"/>
      <c r="G302" s="12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4" x14ac:dyDescent="0.55000000000000004">
      <c r="A303" s="6"/>
      <c r="B303" s="6"/>
      <c r="C303" s="6"/>
      <c r="D303" s="6"/>
      <c r="E303" s="126"/>
      <c r="F303" s="6"/>
      <c r="G303" s="12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4" x14ac:dyDescent="0.55000000000000004">
      <c r="A304" s="6"/>
      <c r="B304" s="6"/>
      <c r="C304" s="6"/>
      <c r="D304" s="6"/>
      <c r="E304" s="126"/>
      <c r="F304" s="6"/>
      <c r="G304" s="12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4" x14ac:dyDescent="0.55000000000000004">
      <c r="A305" s="6"/>
      <c r="B305" s="6"/>
      <c r="C305" s="6"/>
      <c r="D305" s="6"/>
      <c r="E305" s="126"/>
      <c r="F305" s="6"/>
      <c r="G305" s="12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4" x14ac:dyDescent="0.55000000000000004">
      <c r="A306" s="6"/>
      <c r="B306" s="6"/>
      <c r="C306" s="6"/>
      <c r="D306" s="6"/>
      <c r="E306" s="126"/>
      <c r="F306" s="6"/>
      <c r="G306" s="12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4" x14ac:dyDescent="0.55000000000000004">
      <c r="A307" s="6"/>
      <c r="B307" s="6"/>
      <c r="C307" s="6"/>
      <c r="D307" s="6"/>
      <c r="E307" s="126"/>
      <c r="F307" s="6"/>
      <c r="G307" s="12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4" x14ac:dyDescent="0.55000000000000004">
      <c r="A308" s="6"/>
      <c r="B308" s="6"/>
      <c r="C308" s="6"/>
      <c r="D308" s="6"/>
      <c r="E308" s="126"/>
      <c r="F308" s="6"/>
      <c r="G308" s="12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4" x14ac:dyDescent="0.55000000000000004">
      <c r="A309" s="6"/>
      <c r="B309" s="6"/>
      <c r="C309" s="6"/>
      <c r="D309" s="6"/>
      <c r="E309" s="126"/>
      <c r="F309" s="6"/>
      <c r="G309" s="12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4" x14ac:dyDescent="0.55000000000000004">
      <c r="A310" s="6"/>
      <c r="B310" s="6"/>
      <c r="C310" s="6"/>
      <c r="D310" s="6"/>
      <c r="E310" s="126"/>
      <c r="F310" s="6"/>
      <c r="G310" s="12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4" x14ac:dyDescent="0.55000000000000004">
      <c r="A311" s="6"/>
      <c r="B311" s="6"/>
      <c r="C311" s="6"/>
      <c r="D311" s="6"/>
      <c r="E311" s="126"/>
      <c r="F311" s="6"/>
      <c r="G311" s="12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4" x14ac:dyDescent="0.55000000000000004">
      <c r="A312" s="6"/>
      <c r="B312" s="6"/>
      <c r="C312" s="6"/>
      <c r="D312" s="6"/>
      <c r="E312" s="126"/>
      <c r="F312" s="6"/>
      <c r="G312" s="12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4" x14ac:dyDescent="0.55000000000000004">
      <c r="A313" s="6"/>
      <c r="B313" s="6"/>
      <c r="C313" s="6"/>
      <c r="D313" s="6"/>
      <c r="E313" s="126"/>
      <c r="F313" s="6"/>
      <c r="G313" s="12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4" x14ac:dyDescent="0.55000000000000004">
      <c r="A314" s="6"/>
      <c r="B314" s="6"/>
      <c r="C314" s="6"/>
      <c r="D314" s="6"/>
      <c r="E314" s="126"/>
      <c r="F314" s="6"/>
      <c r="G314" s="12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4" x14ac:dyDescent="0.55000000000000004">
      <c r="A315" s="6"/>
      <c r="B315" s="6"/>
      <c r="C315" s="6"/>
      <c r="D315" s="6"/>
      <c r="E315" s="126"/>
      <c r="F315" s="6"/>
      <c r="G315" s="12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4" x14ac:dyDescent="0.55000000000000004">
      <c r="A316" s="6"/>
      <c r="B316" s="6"/>
      <c r="C316" s="6"/>
      <c r="D316" s="6"/>
      <c r="E316" s="126"/>
      <c r="F316" s="6"/>
      <c r="G316" s="12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4" x14ac:dyDescent="0.55000000000000004">
      <c r="A317" s="6"/>
      <c r="B317" s="6"/>
      <c r="C317" s="6"/>
      <c r="D317" s="6"/>
      <c r="E317" s="126"/>
      <c r="F317" s="6"/>
      <c r="G317" s="12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4" x14ac:dyDescent="0.55000000000000004">
      <c r="A318" s="6"/>
      <c r="B318" s="6"/>
      <c r="C318" s="6"/>
      <c r="D318" s="6"/>
      <c r="E318" s="126"/>
      <c r="F318" s="6"/>
      <c r="G318" s="12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4" x14ac:dyDescent="0.55000000000000004">
      <c r="A319" s="6"/>
      <c r="B319" s="6"/>
      <c r="C319" s="6"/>
      <c r="D319" s="6"/>
      <c r="E319" s="126"/>
      <c r="F319" s="6"/>
      <c r="G319" s="12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4" x14ac:dyDescent="0.55000000000000004">
      <c r="A320" s="6"/>
      <c r="B320" s="6"/>
      <c r="C320" s="6"/>
      <c r="D320" s="6"/>
      <c r="E320" s="126"/>
      <c r="F320" s="6"/>
      <c r="G320" s="12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4" x14ac:dyDescent="0.55000000000000004">
      <c r="A321" s="6"/>
      <c r="B321" s="6"/>
      <c r="C321" s="6"/>
      <c r="D321" s="6"/>
      <c r="E321" s="126"/>
      <c r="F321" s="6"/>
      <c r="G321" s="12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4" x14ac:dyDescent="0.55000000000000004">
      <c r="A322" s="6"/>
      <c r="B322" s="6"/>
      <c r="C322" s="6"/>
      <c r="D322" s="6"/>
      <c r="E322" s="126"/>
      <c r="F322" s="6"/>
      <c r="G322" s="12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4" x14ac:dyDescent="0.55000000000000004">
      <c r="A323" s="6"/>
      <c r="B323" s="6"/>
      <c r="C323" s="6"/>
      <c r="D323" s="6"/>
      <c r="E323" s="126"/>
      <c r="F323" s="6"/>
      <c r="G323" s="12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4" x14ac:dyDescent="0.55000000000000004">
      <c r="A324" s="6"/>
      <c r="B324" s="6"/>
      <c r="C324" s="6"/>
      <c r="D324" s="6"/>
      <c r="E324" s="126"/>
      <c r="F324" s="6"/>
      <c r="G324" s="12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4" x14ac:dyDescent="0.55000000000000004">
      <c r="A325" s="6"/>
      <c r="B325" s="6"/>
      <c r="C325" s="6"/>
      <c r="D325" s="6"/>
      <c r="E325" s="126"/>
      <c r="F325" s="6"/>
      <c r="G325" s="12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4" x14ac:dyDescent="0.55000000000000004">
      <c r="A326" s="6"/>
      <c r="B326" s="6"/>
      <c r="C326" s="6"/>
      <c r="D326" s="6"/>
      <c r="E326" s="126"/>
      <c r="F326" s="6"/>
      <c r="G326" s="12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4" x14ac:dyDescent="0.55000000000000004">
      <c r="A327" s="6"/>
      <c r="B327" s="6"/>
      <c r="C327" s="6"/>
      <c r="D327" s="6"/>
      <c r="E327" s="126"/>
      <c r="F327" s="6"/>
      <c r="G327" s="12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4" x14ac:dyDescent="0.55000000000000004">
      <c r="A328" s="6"/>
      <c r="B328" s="6"/>
      <c r="C328" s="6"/>
      <c r="D328" s="6"/>
      <c r="E328" s="126"/>
      <c r="F328" s="6"/>
      <c r="G328" s="12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4" x14ac:dyDescent="0.55000000000000004">
      <c r="A329" s="6"/>
      <c r="B329" s="6"/>
      <c r="C329" s="6"/>
      <c r="D329" s="6"/>
      <c r="E329" s="126"/>
      <c r="F329" s="6"/>
      <c r="G329" s="12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4" x14ac:dyDescent="0.55000000000000004">
      <c r="A330" s="6"/>
      <c r="B330" s="6"/>
      <c r="C330" s="6"/>
      <c r="D330" s="6"/>
      <c r="E330" s="126"/>
      <c r="F330" s="6"/>
      <c r="G330" s="12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4" x14ac:dyDescent="0.55000000000000004">
      <c r="A331" s="6"/>
      <c r="B331" s="6"/>
      <c r="C331" s="6"/>
      <c r="D331" s="6"/>
      <c r="E331" s="126"/>
      <c r="F331" s="6"/>
      <c r="G331" s="12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4" x14ac:dyDescent="0.55000000000000004">
      <c r="A332" s="6"/>
      <c r="B332" s="6"/>
      <c r="C332" s="6"/>
      <c r="D332" s="6"/>
      <c r="E332" s="126"/>
      <c r="F332" s="6"/>
      <c r="G332" s="12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4" x14ac:dyDescent="0.55000000000000004">
      <c r="A333" s="6"/>
      <c r="B333" s="6"/>
      <c r="C333" s="6"/>
      <c r="D333" s="6"/>
      <c r="E333" s="126"/>
      <c r="F333" s="6"/>
      <c r="G333" s="12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4" x14ac:dyDescent="0.55000000000000004">
      <c r="A334" s="6"/>
      <c r="B334" s="6"/>
      <c r="C334" s="6"/>
      <c r="D334" s="6"/>
      <c r="E334" s="126"/>
      <c r="F334" s="6"/>
      <c r="G334" s="12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4" x14ac:dyDescent="0.55000000000000004">
      <c r="A335" s="6"/>
      <c r="B335" s="6"/>
      <c r="C335" s="6"/>
      <c r="D335" s="6"/>
      <c r="E335" s="126"/>
      <c r="F335" s="6"/>
      <c r="G335" s="12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4" x14ac:dyDescent="0.55000000000000004">
      <c r="A336" s="6"/>
      <c r="B336" s="6"/>
      <c r="C336" s="6"/>
      <c r="D336" s="6"/>
      <c r="E336" s="126"/>
      <c r="F336" s="6"/>
      <c r="G336" s="12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4" x14ac:dyDescent="0.55000000000000004">
      <c r="A337" s="6"/>
      <c r="B337" s="6"/>
      <c r="C337" s="6"/>
      <c r="D337" s="6"/>
      <c r="E337" s="126"/>
      <c r="F337" s="6"/>
      <c r="G337" s="12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4" x14ac:dyDescent="0.55000000000000004">
      <c r="A338" s="6"/>
      <c r="B338" s="6"/>
      <c r="C338" s="6"/>
      <c r="D338" s="6"/>
      <c r="E338" s="126"/>
      <c r="F338" s="6"/>
      <c r="G338" s="12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4" x14ac:dyDescent="0.55000000000000004">
      <c r="A339" s="6"/>
      <c r="B339" s="6"/>
      <c r="C339" s="6"/>
      <c r="D339" s="6"/>
      <c r="E339" s="126"/>
      <c r="F339" s="6"/>
      <c r="G339" s="12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4" x14ac:dyDescent="0.55000000000000004">
      <c r="A340" s="6"/>
      <c r="B340" s="6"/>
      <c r="C340" s="6"/>
      <c r="D340" s="6"/>
      <c r="E340" s="126"/>
      <c r="F340" s="6"/>
      <c r="G340" s="12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4" x14ac:dyDescent="0.55000000000000004">
      <c r="A341" s="6"/>
      <c r="B341" s="6"/>
      <c r="C341" s="6"/>
      <c r="D341" s="6"/>
      <c r="E341" s="126"/>
      <c r="F341" s="6"/>
      <c r="G341" s="12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4" x14ac:dyDescent="0.55000000000000004">
      <c r="A342" s="6"/>
      <c r="B342" s="6"/>
      <c r="C342" s="6"/>
      <c r="D342" s="6"/>
      <c r="E342" s="126"/>
      <c r="F342" s="6"/>
      <c r="G342" s="12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4" x14ac:dyDescent="0.55000000000000004">
      <c r="A343" s="6"/>
      <c r="B343" s="6"/>
      <c r="C343" s="6"/>
      <c r="D343" s="6"/>
      <c r="E343" s="126"/>
      <c r="F343" s="6"/>
      <c r="G343" s="12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4" x14ac:dyDescent="0.55000000000000004">
      <c r="A344" s="6"/>
      <c r="B344" s="6"/>
      <c r="C344" s="6"/>
      <c r="D344" s="6"/>
      <c r="E344" s="126"/>
      <c r="F344" s="6"/>
      <c r="G344" s="12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4" x14ac:dyDescent="0.55000000000000004">
      <c r="A345" s="6"/>
      <c r="B345" s="6"/>
      <c r="C345" s="6"/>
      <c r="D345" s="6"/>
      <c r="E345" s="126"/>
      <c r="F345" s="6"/>
      <c r="G345" s="12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4" x14ac:dyDescent="0.55000000000000004">
      <c r="A346" s="6"/>
      <c r="B346" s="6"/>
      <c r="C346" s="6"/>
      <c r="D346" s="6"/>
      <c r="E346" s="126"/>
      <c r="F346" s="6"/>
      <c r="G346" s="12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4" x14ac:dyDescent="0.55000000000000004">
      <c r="A347" s="6"/>
      <c r="B347" s="6"/>
      <c r="C347" s="6"/>
      <c r="D347" s="6"/>
      <c r="E347" s="126"/>
      <c r="F347" s="6"/>
      <c r="G347" s="12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4" x14ac:dyDescent="0.55000000000000004">
      <c r="A348" s="6"/>
      <c r="B348" s="6"/>
      <c r="C348" s="6"/>
      <c r="D348" s="6"/>
      <c r="E348" s="126"/>
      <c r="F348" s="6"/>
      <c r="G348" s="12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4" x14ac:dyDescent="0.55000000000000004">
      <c r="A349" s="6"/>
      <c r="B349" s="6"/>
      <c r="C349" s="6"/>
      <c r="D349" s="6"/>
      <c r="E349" s="126"/>
      <c r="F349" s="6"/>
      <c r="G349" s="12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4" x14ac:dyDescent="0.55000000000000004">
      <c r="A350" s="6"/>
      <c r="B350" s="6"/>
      <c r="C350" s="6"/>
      <c r="D350" s="6"/>
      <c r="E350" s="126"/>
      <c r="F350" s="6"/>
      <c r="G350" s="12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4" x14ac:dyDescent="0.55000000000000004">
      <c r="A351" s="6"/>
      <c r="B351" s="6"/>
      <c r="C351" s="6"/>
      <c r="D351" s="6"/>
      <c r="E351" s="126"/>
      <c r="F351" s="6"/>
      <c r="G351" s="12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4" x14ac:dyDescent="0.55000000000000004">
      <c r="A352" s="6"/>
      <c r="B352" s="6"/>
      <c r="C352" s="6"/>
      <c r="D352" s="6"/>
      <c r="E352" s="126"/>
      <c r="F352" s="6"/>
      <c r="G352" s="12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4" x14ac:dyDescent="0.55000000000000004">
      <c r="A353" s="6"/>
      <c r="B353" s="6"/>
      <c r="C353" s="6"/>
      <c r="D353" s="6"/>
      <c r="E353" s="126"/>
      <c r="F353" s="6"/>
      <c r="G353" s="12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4" x14ac:dyDescent="0.55000000000000004">
      <c r="A354" s="6"/>
      <c r="B354" s="6"/>
      <c r="C354" s="6"/>
      <c r="D354" s="6"/>
      <c r="E354" s="126"/>
      <c r="F354" s="6"/>
      <c r="G354" s="12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4" x14ac:dyDescent="0.55000000000000004">
      <c r="A355" s="6"/>
      <c r="B355" s="6"/>
      <c r="C355" s="6"/>
      <c r="D355" s="6"/>
      <c r="E355" s="126"/>
      <c r="F355" s="6"/>
      <c r="G355" s="12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4" x14ac:dyDescent="0.55000000000000004">
      <c r="A356" s="6"/>
      <c r="B356" s="6"/>
      <c r="C356" s="6"/>
      <c r="D356" s="6"/>
      <c r="E356" s="126"/>
      <c r="F356" s="6"/>
      <c r="G356" s="12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4" x14ac:dyDescent="0.55000000000000004">
      <c r="A357" s="6"/>
      <c r="B357" s="6"/>
      <c r="C357" s="6"/>
      <c r="D357" s="6"/>
      <c r="E357" s="126"/>
      <c r="F357" s="6"/>
      <c r="G357" s="12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4" x14ac:dyDescent="0.55000000000000004">
      <c r="A358" s="6"/>
      <c r="B358" s="6"/>
      <c r="C358" s="6"/>
      <c r="D358" s="6"/>
      <c r="E358" s="126"/>
      <c r="F358" s="6"/>
      <c r="G358" s="12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4" x14ac:dyDescent="0.55000000000000004">
      <c r="A359" s="6"/>
      <c r="B359" s="6"/>
      <c r="C359" s="6"/>
      <c r="D359" s="6"/>
      <c r="E359" s="126"/>
      <c r="F359" s="6"/>
      <c r="G359" s="12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4" x14ac:dyDescent="0.55000000000000004">
      <c r="A360" s="6"/>
      <c r="B360" s="6"/>
      <c r="C360" s="6"/>
      <c r="D360" s="6"/>
      <c r="E360" s="126"/>
      <c r="F360" s="6"/>
      <c r="G360" s="12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4" x14ac:dyDescent="0.55000000000000004">
      <c r="A361" s="6"/>
      <c r="B361" s="6"/>
      <c r="C361" s="6"/>
      <c r="D361" s="6"/>
      <c r="E361" s="126"/>
      <c r="F361" s="6"/>
      <c r="G361" s="12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4" x14ac:dyDescent="0.55000000000000004">
      <c r="A362" s="6"/>
      <c r="B362" s="6"/>
      <c r="C362" s="6"/>
      <c r="D362" s="6"/>
      <c r="E362" s="126"/>
      <c r="F362" s="6"/>
      <c r="G362" s="12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4" x14ac:dyDescent="0.55000000000000004">
      <c r="A363" s="6"/>
      <c r="B363" s="6"/>
      <c r="C363" s="6"/>
      <c r="D363" s="6"/>
      <c r="E363" s="126"/>
      <c r="F363" s="6"/>
      <c r="G363" s="12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4" x14ac:dyDescent="0.55000000000000004">
      <c r="A364" s="6"/>
      <c r="B364" s="6"/>
      <c r="C364" s="6"/>
      <c r="D364" s="6"/>
      <c r="E364" s="126"/>
      <c r="F364" s="6"/>
      <c r="G364" s="12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4" x14ac:dyDescent="0.55000000000000004">
      <c r="A365" s="6"/>
      <c r="B365" s="6"/>
      <c r="C365" s="6"/>
      <c r="D365" s="6"/>
      <c r="E365" s="126"/>
      <c r="F365" s="6"/>
      <c r="G365" s="12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4" x14ac:dyDescent="0.55000000000000004">
      <c r="A366" s="6"/>
      <c r="B366" s="6"/>
      <c r="C366" s="6"/>
      <c r="D366" s="6"/>
      <c r="E366" s="126"/>
      <c r="F366" s="6"/>
      <c r="G366" s="12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4" x14ac:dyDescent="0.55000000000000004">
      <c r="A367" s="6"/>
      <c r="B367" s="6"/>
      <c r="C367" s="6"/>
      <c r="D367" s="6"/>
      <c r="E367" s="126"/>
      <c r="F367" s="6"/>
      <c r="G367" s="12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4" x14ac:dyDescent="0.55000000000000004">
      <c r="A368" s="6"/>
      <c r="B368" s="6"/>
      <c r="C368" s="6"/>
      <c r="D368" s="6"/>
      <c r="E368" s="126"/>
      <c r="F368" s="6"/>
      <c r="G368" s="12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4" x14ac:dyDescent="0.55000000000000004">
      <c r="A369" s="6"/>
      <c r="B369" s="6"/>
      <c r="C369" s="6"/>
      <c r="D369" s="6"/>
      <c r="E369" s="126"/>
      <c r="F369" s="6"/>
      <c r="G369" s="12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4" x14ac:dyDescent="0.55000000000000004">
      <c r="A370" s="6"/>
      <c r="B370" s="6"/>
      <c r="C370" s="6"/>
      <c r="D370" s="6"/>
      <c r="E370" s="126"/>
      <c r="F370" s="6"/>
      <c r="G370" s="12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4" x14ac:dyDescent="0.55000000000000004">
      <c r="A371" s="6"/>
      <c r="B371" s="6"/>
      <c r="C371" s="6"/>
      <c r="D371" s="6"/>
      <c r="E371" s="126"/>
      <c r="F371" s="6"/>
      <c r="G371" s="12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4" x14ac:dyDescent="0.55000000000000004">
      <c r="A372" s="6"/>
      <c r="B372" s="6"/>
      <c r="C372" s="6"/>
      <c r="D372" s="6"/>
      <c r="E372" s="126"/>
      <c r="F372" s="6"/>
      <c r="G372" s="12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4" x14ac:dyDescent="0.55000000000000004">
      <c r="A373" s="6"/>
      <c r="B373" s="6"/>
      <c r="C373" s="6"/>
      <c r="D373" s="6"/>
      <c r="E373" s="126"/>
      <c r="F373" s="6"/>
      <c r="G373" s="12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4" x14ac:dyDescent="0.55000000000000004">
      <c r="A374" s="6"/>
      <c r="B374" s="6"/>
      <c r="C374" s="6"/>
      <c r="D374" s="6"/>
      <c r="E374" s="126"/>
      <c r="F374" s="6"/>
      <c r="G374" s="12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4" x14ac:dyDescent="0.55000000000000004">
      <c r="A375" s="6"/>
      <c r="B375" s="6"/>
      <c r="C375" s="6"/>
      <c r="D375" s="6"/>
      <c r="E375" s="126"/>
      <c r="F375" s="6"/>
      <c r="G375" s="12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4" x14ac:dyDescent="0.55000000000000004">
      <c r="A376" s="6"/>
      <c r="B376" s="6"/>
      <c r="C376" s="6"/>
      <c r="D376" s="6"/>
      <c r="E376" s="126"/>
      <c r="F376" s="6"/>
      <c r="G376" s="12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4" x14ac:dyDescent="0.55000000000000004">
      <c r="A377" s="6"/>
      <c r="B377" s="6"/>
      <c r="C377" s="6"/>
      <c r="D377" s="6"/>
      <c r="E377" s="126"/>
      <c r="F377" s="6"/>
      <c r="G377" s="12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4" x14ac:dyDescent="0.55000000000000004">
      <c r="A378" s="6"/>
      <c r="B378" s="6"/>
      <c r="C378" s="6"/>
      <c r="D378" s="6"/>
      <c r="E378" s="126"/>
      <c r="F378" s="6"/>
      <c r="G378" s="12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4" x14ac:dyDescent="0.55000000000000004">
      <c r="A379" s="6"/>
      <c r="B379" s="6"/>
      <c r="C379" s="6"/>
      <c r="D379" s="6"/>
      <c r="E379" s="126"/>
      <c r="F379" s="6"/>
      <c r="G379" s="12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4" x14ac:dyDescent="0.55000000000000004">
      <c r="A380" s="6"/>
      <c r="B380" s="6"/>
      <c r="C380" s="6"/>
      <c r="D380" s="6"/>
      <c r="E380" s="126"/>
      <c r="F380" s="6"/>
      <c r="G380" s="12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4" x14ac:dyDescent="0.55000000000000004">
      <c r="A381" s="6"/>
      <c r="B381" s="6"/>
      <c r="C381" s="6"/>
      <c r="D381" s="6"/>
      <c r="E381" s="126"/>
      <c r="F381" s="6"/>
      <c r="G381" s="12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4" x14ac:dyDescent="0.55000000000000004">
      <c r="A382" s="6"/>
      <c r="B382" s="6"/>
      <c r="C382" s="6"/>
      <c r="D382" s="6"/>
      <c r="E382" s="126"/>
      <c r="F382" s="6"/>
      <c r="G382" s="12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4" x14ac:dyDescent="0.55000000000000004">
      <c r="A383" s="6"/>
      <c r="B383" s="6"/>
      <c r="C383" s="6"/>
      <c r="D383" s="6"/>
      <c r="E383" s="126"/>
      <c r="F383" s="6"/>
      <c r="G383" s="12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4" x14ac:dyDescent="0.55000000000000004">
      <c r="A384" s="6"/>
      <c r="B384" s="6"/>
      <c r="C384" s="6"/>
      <c r="D384" s="6"/>
      <c r="E384" s="126"/>
      <c r="F384" s="6"/>
      <c r="G384" s="12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4" x14ac:dyDescent="0.55000000000000004">
      <c r="A385" s="6"/>
      <c r="B385" s="6"/>
      <c r="C385" s="6"/>
      <c r="D385" s="6"/>
      <c r="E385" s="126"/>
      <c r="F385" s="6"/>
      <c r="G385" s="12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4" x14ac:dyDescent="0.55000000000000004">
      <c r="A386" s="6"/>
      <c r="B386" s="6"/>
      <c r="C386" s="6"/>
      <c r="D386" s="6"/>
      <c r="E386" s="126"/>
      <c r="F386" s="6"/>
      <c r="G386" s="12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4" x14ac:dyDescent="0.55000000000000004">
      <c r="A387" s="6"/>
      <c r="B387" s="6"/>
      <c r="C387" s="6"/>
      <c r="D387" s="6"/>
      <c r="E387" s="126"/>
      <c r="F387" s="6"/>
      <c r="G387" s="12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4" x14ac:dyDescent="0.55000000000000004">
      <c r="A388" s="6"/>
      <c r="B388" s="6"/>
      <c r="C388" s="6"/>
      <c r="D388" s="6"/>
      <c r="E388" s="126"/>
      <c r="F388" s="6"/>
      <c r="G388" s="12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4" x14ac:dyDescent="0.55000000000000004">
      <c r="A389" s="6"/>
      <c r="B389" s="6"/>
      <c r="C389" s="6"/>
      <c r="D389" s="6"/>
      <c r="E389" s="126"/>
      <c r="F389" s="6"/>
      <c r="G389" s="12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4" x14ac:dyDescent="0.55000000000000004">
      <c r="A390" s="6"/>
      <c r="B390" s="6"/>
      <c r="C390" s="6"/>
      <c r="D390" s="6"/>
      <c r="E390" s="126"/>
      <c r="F390" s="6"/>
      <c r="G390" s="12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4" x14ac:dyDescent="0.55000000000000004">
      <c r="A391" s="6"/>
      <c r="B391" s="6"/>
      <c r="C391" s="6"/>
      <c r="D391" s="6"/>
      <c r="E391" s="126"/>
      <c r="F391" s="6"/>
      <c r="G391" s="12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4" x14ac:dyDescent="0.55000000000000004">
      <c r="A392" s="6"/>
      <c r="B392" s="6"/>
      <c r="C392" s="6"/>
      <c r="D392" s="6"/>
      <c r="E392" s="126"/>
      <c r="F392" s="6"/>
      <c r="G392" s="12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4" x14ac:dyDescent="0.55000000000000004">
      <c r="A393" s="6"/>
      <c r="B393" s="6"/>
      <c r="C393" s="6"/>
      <c r="D393" s="6"/>
      <c r="E393" s="126"/>
      <c r="F393" s="6"/>
      <c r="G393" s="12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4" x14ac:dyDescent="0.55000000000000004">
      <c r="A394" s="6"/>
      <c r="B394" s="6"/>
      <c r="C394" s="6"/>
      <c r="D394" s="6"/>
      <c r="E394" s="126"/>
      <c r="F394" s="6"/>
      <c r="G394" s="12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4" x14ac:dyDescent="0.55000000000000004">
      <c r="A395" s="6"/>
      <c r="B395" s="6"/>
      <c r="C395" s="6"/>
      <c r="D395" s="6"/>
      <c r="E395" s="126"/>
      <c r="F395" s="6"/>
      <c r="G395" s="12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4" x14ac:dyDescent="0.55000000000000004">
      <c r="A396" s="6"/>
      <c r="B396" s="6"/>
      <c r="C396" s="6"/>
      <c r="D396" s="6"/>
      <c r="E396" s="126"/>
      <c r="F396" s="6"/>
      <c r="G396" s="12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4" x14ac:dyDescent="0.55000000000000004">
      <c r="A397" s="6"/>
      <c r="B397" s="6"/>
      <c r="C397" s="6"/>
      <c r="D397" s="6"/>
      <c r="E397" s="126"/>
      <c r="F397" s="6"/>
      <c r="G397" s="12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4" x14ac:dyDescent="0.55000000000000004">
      <c r="A398" s="6"/>
      <c r="B398" s="6"/>
      <c r="C398" s="6"/>
      <c r="D398" s="6"/>
      <c r="E398" s="126"/>
      <c r="F398" s="6"/>
      <c r="G398" s="12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4" x14ac:dyDescent="0.55000000000000004">
      <c r="A399" s="6"/>
      <c r="B399" s="6"/>
      <c r="C399" s="6"/>
      <c r="D399" s="6"/>
      <c r="E399" s="126"/>
      <c r="F399" s="6"/>
      <c r="G399" s="12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4" x14ac:dyDescent="0.55000000000000004">
      <c r="A400" s="6"/>
      <c r="B400" s="6"/>
      <c r="C400" s="6"/>
      <c r="D400" s="6"/>
      <c r="E400" s="126"/>
      <c r="F400" s="6"/>
      <c r="G400" s="12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4" x14ac:dyDescent="0.55000000000000004">
      <c r="A401" s="6"/>
      <c r="B401" s="6"/>
      <c r="C401" s="6"/>
      <c r="D401" s="6"/>
      <c r="E401" s="126"/>
      <c r="F401" s="6"/>
      <c r="G401" s="12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4" x14ac:dyDescent="0.55000000000000004">
      <c r="A402" s="6"/>
      <c r="B402" s="6"/>
      <c r="C402" s="6"/>
      <c r="D402" s="6"/>
      <c r="E402" s="126"/>
      <c r="F402" s="6"/>
      <c r="G402" s="12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4" x14ac:dyDescent="0.55000000000000004">
      <c r="A403" s="6"/>
      <c r="B403" s="6"/>
      <c r="C403" s="6"/>
      <c r="D403" s="6"/>
      <c r="E403" s="126"/>
      <c r="F403" s="6"/>
      <c r="G403" s="12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4" x14ac:dyDescent="0.55000000000000004">
      <c r="A404" s="6"/>
      <c r="B404" s="6"/>
      <c r="C404" s="6"/>
      <c r="D404" s="6"/>
      <c r="E404" s="126"/>
      <c r="F404" s="6"/>
      <c r="G404" s="12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4" x14ac:dyDescent="0.55000000000000004">
      <c r="A405" s="6"/>
      <c r="B405" s="6"/>
      <c r="C405" s="6"/>
      <c r="D405" s="6"/>
      <c r="E405" s="126"/>
      <c r="F405" s="6"/>
      <c r="G405" s="12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4" x14ac:dyDescent="0.55000000000000004">
      <c r="A406" s="6"/>
      <c r="B406" s="6"/>
      <c r="C406" s="6"/>
      <c r="D406" s="6"/>
      <c r="E406" s="126"/>
      <c r="F406" s="6"/>
      <c r="G406" s="12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4" x14ac:dyDescent="0.55000000000000004">
      <c r="A407" s="6"/>
      <c r="B407" s="6"/>
      <c r="C407" s="6"/>
      <c r="D407" s="6"/>
      <c r="E407" s="126"/>
      <c r="F407" s="6"/>
      <c r="G407" s="12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4" x14ac:dyDescent="0.55000000000000004">
      <c r="A408" s="6"/>
      <c r="B408" s="6"/>
      <c r="C408" s="6"/>
      <c r="D408" s="6"/>
      <c r="E408" s="126"/>
      <c r="F408" s="6"/>
      <c r="G408" s="12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4" x14ac:dyDescent="0.55000000000000004">
      <c r="A409" s="6"/>
      <c r="B409" s="6"/>
      <c r="C409" s="6"/>
      <c r="D409" s="6"/>
      <c r="E409" s="126"/>
      <c r="F409" s="6"/>
      <c r="G409" s="12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4" x14ac:dyDescent="0.55000000000000004">
      <c r="A410" s="6"/>
      <c r="B410" s="6"/>
      <c r="C410" s="6"/>
      <c r="D410" s="6"/>
      <c r="E410" s="126"/>
      <c r="F410" s="6"/>
      <c r="G410" s="12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4" x14ac:dyDescent="0.55000000000000004">
      <c r="A411" s="6"/>
      <c r="B411" s="6"/>
      <c r="C411" s="6"/>
      <c r="D411" s="6"/>
      <c r="E411" s="126"/>
      <c r="F411" s="6"/>
      <c r="G411" s="12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4" x14ac:dyDescent="0.55000000000000004">
      <c r="A412" s="6"/>
      <c r="B412" s="6"/>
      <c r="C412" s="6"/>
      <c r="D412" s="6"/>
      <c r="E412" s="126"/>
      <c r="F412" s="6"/>
      <c r="G412" s="12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4" x14ac:dyDescent="0.55000000000000004">
      <c r="A413" s="6"/>
      <c r="B413" s="6"/>
      <c r="C413" s="6"/>
      <c r="D413" s="6"/>
      <c r="E413" s="126"/>
      <c r="F413" s="6"/>
      <c r="G413" s="12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4" x14ac:dyDescent="0.55000000000000004">
      <c r="A414" s="6"/>
      <c r="B414" s="6"/>
      <c r="C414" s="6"/>
      <c r="D414" s="6"/>
      <c r="E414" s="126"/>
      <c r="F414" s="6"/>
      <c r="G414" s="12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4" x14ac:dyDescent="0.55000000000000004">
      <c r="A415" s="6"/>
      <c r="B415" s="6"/>
      <c r="C415" s="6"/>
      <c r="D415" s="6"/>
      <c r="E415" s="126"/>
      <c r="F415" s="6"/>
      <c r="G415" s="12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4" x14ac:dyDescent="0.55000000000000004">
      <c r="A416" s="6"/>
      <c r="B416" s="6"/>
      <c r="C416" s="6"/>
      <c r="D416" s="6"/>
      <c r="E416" s="126"/>
      <c r="F416" s="6"/>
      <c r="G416" s="12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4" x14ac:dyDescent="0.55000000000000004">
      <c r="A417" s="6"/>
      <c r="B417" s="6"/>
      <c r="C417" s="6"/>
      <c r="D417" s="6"/>
      <c r="E417" s="126"/>
      <c r="F417" s="6"/>
      <c r="G417" s="12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4" x14ac:dyDescent="0.55000000000000004">
      <c r="A418" s="6"/>
      <c r="B418" s="6"/>
      <c r="C418" s="6"/>
      <c r="D418" s="6"/>
      <c r="E418" s="126"/>
      <c r="F418" s="6"/>
      <c r="G418" s="12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4" x14ac:dyDescent="0.55000000000000004">
      <c r="A419" s="6"/>
      <c r="B419" s="6"/>
      <c r="C419" s="6"/>
      <c r="D419" s="6"/>
      <c r="E419" s="126"/>
      <c r="F419" s="6"/>
      <c r="G419" s="12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4" x14ac:dyDescent="0.55000000000000004">
      <c r="A420" s="6"/>
      <c r="B420" s="6"/>
      <c r="C420" s="6"/>
      <c r="D420" s="6"/>
      <c r="E420" s="126"/>
      <c r="F420" s="6"/>
      <c r="G420" s="12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4" x14ac:dyDescent="0.55000000000000004">
      <c r="A421" s="6"/>
      <c r="B421" s="6"/>
      <c r="C421" s="6"/>
      <c r="D421" s="6"/>
      <c r="E421" s="126"/>
      <c r="F421" s="6"/>
      <c r="G421" s="12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4" x14ac:dyDescent="0.55000000000000004">
      <c r="A422" s="6"/>
      <c r="B422" s="6"/>
      <c r="C422" s="6"/>
      <c r="D422" s="6"/>
      <c r="E422" s="126"/>
      <c r="F422" s="6"/>
      <c r="G422" s="12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4" x14ac:dyDescent="0.55000000000000004">
      <c r="A423" s="6"/>
      <c r="B423" s="6"/>
      <c r="C423" s="6"/>
      <c r="D423" s="6"/>
      <c r="E423" s="126"/>
      <c r="F423" s="6"/>
      <c r="G423" s="12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4" x14ac:dyDescent="0.55000000000000004">
      <c r="A424" s="6"/>
      <c r="B424" s="6"/>
      <c r="C424" s="6"/>
      <c r="D424" s="6"/>
      <c r="E424" s="126"/>
      <c r="F424" s="6"/>
      <c r="G424" s="12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4" x14ac:dyDescent="0.55000000000000004">
      <c r="A425" s="6"/>
      <c r="B425" s="6"/>
      <c r="C425" s="6"/>
      <c r="D425" s="6"/>
      <c r="E425" s="126"/>
      <c r="F425" s="6"/>
      <c r="G425" s="12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4" x14ac:dyDescent="0.55000000000000004">
      <c r="A426" s="6"/>
      <c r="B426" s="6"/>
      <c r="C426" s="6"/>
      <c r="D426" s="6"/>
      <c r="E426" s="126"/>
      <c r="F426" s="6"/>
      <c r="G426" s="12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4" x14ac:dyDescent="0.55000000000000004">
      <c r="A427" s="6"/>
      <c r="B427" s="6"/>
      <c r="C427" s="6"/>
      <c r="D427" s="6"/>
      <c r="E427" s="126"/>
      <c r="F427" s="6"/>
      <c r="G427" s="12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4" x14ac:dyDescent="0.55000000000000004">
      <c r="A428" s="6"/>
      <c r="B428" s="6"/>
      <c r="C428" s="6"/>
      <c r="D428" s="6"/>
      <c r="E428" s="126"/>
      <c r="F428" s="6"/>
      <c r="G428" s="12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4" x14ac:dyDescent="0.55000000000000004">
      <c r="A429" s="6"/>
      <c r="B429" s="6"/>
      <c r="C429" s="6"/>
      <c r="D429" s="6"/>
      <c r="E429" s="126"/>
      <c r="F429" s="6"/>
      <c r="G429" s="12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4" x14ac:dyDescent="0.55000000000000004">
      <c r="A430" s="6"/>
      <c r="B430" s="6"/>
      <c r="C430" s="6"/>
      <c r="D430" s="6"/>
      <c r="E430" s="126"/>
      <c r="F430" s="6"/>
      <c r="G430" s="12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4" x14ac:dyDescent="0.55000000000000004">
      <c r="A431" s="6"/>
      <c r="B431" s="6"/>
      <c r="C431" s="6"/>
      <c r="D431" s="6"/>
      <c r="E431" s="126"/>
      <c r="F431" s="6"/>
      <c r="G431" s="12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4" x14ac:dyDescent="0.55000000000000004">
      <c r="A432" s="6"/>
      <c r="B432" s="6"/>
      <c r="C432" s="6"/>
      <c r="D432" s="6"/>
      <c r="E432" s="126"/>
      <c r="F432" s="6"/>
      <c r="G432" s="12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4" x14ac:dyDescent="0.55000000000000004">
      <c r="A433" s="6"/>
      <c r="B433" s="6"/>
      <c r="C433" s="6"/>
      <c r="D433" s="6"/>
      <c r="E433" s="126"/>
      <c r="F433" s="6"/>
      <c r="G433" s="12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4" x14ac:dyDescent="0.55000000000000004">
      <c r="A434" s="6"/>
      <c r="B434" s="6"/>
      <c r="C434" s="6"/>
      <c r="D434" s="6"/>
      <c r="E434" s="126"/>
      <c r="F434" s="6"/>
      <c r="G434" s="12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4" x14ac:dyDescent="0.55000000000000004">
      <c r="A435" s="6"/>
      <c r="B435" s="6"/>
      <c r="C435" s="6"/>
      <c r="D435" s="6"/>
      <c r="E435" s="126"/>
      <c r="F435" s="6"/>
      <c r="G435" s="12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4" x14ac:dyDescent="0.55000000000000004">
      <c r="A436" s="6"/>
      <c r="B436" s="6"/>
      <c r="C436" s="6"/>
      <c r="D436" s="6"/>
      <c r="E436" s="126"/>
      <c r="F436" s="6"/>
      <c r="G436" s="12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4" x14ac:dyDescent="0.55000000000000004">
      <c r="A437" s="6"/>
      <c r="B437" s="6"/>
      <c r="C437" s="6"/>
      <c r="D437" s="6"/>
      <c r="E437" s="126"/>
      <c r="F437" s="6"/>
      <c r="G437" s="12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4" x14ac:dyDescent="0.55000000000000004">
      <c r="A438" s="6"/>
      <c r="B438" s="6"/>
      <c r="C438" s="6"/>
      <c r="D438" s="6"/>
      <c r="E438" s="126"/>
      <c r="F438" s="6"/>
      <c r="G438" s="12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4" x14ac:dyDescent="0.55000000000000004">
      <c r="A439" s="6"/>
      <c r="B439" s="6"/>
      <c r="C439" s="6"/>
      <c r="D439" s="6"/>
      <c r="E439" s="126"/>
      <c r="F439" s="6"/>
      <c r="G439" s="12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4" x14ac:dyDescent="0.55000000000000004">
      <c r="A440" s="6"/>
      <c r="B440" s="6"/>
      <c r="C440" s="6"/>
      <c r="D440" s="6"/>
      <c r="E440" s="126"/>
      <c r="F440" s="6"/>
      <c r="G440" s="12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4" x14ac:dyDescent="0.55000000000000004">
      <c r="A441" s="6"/>
      <c r="B441" s="6"/>
      <c r="C441" s="6"/>
      <c r="D441" s="6"/>
      <c r="E441" s="126"/>
      <c r="F441" s="6"/>
      <c r="G441" s="12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4" x14ac:dyDescent="0.55000000000000004">
      <c r="A442" s="6"/>
      <c r="B442" s="6"/>
      <c r="C442" s="6"/>
      <c r="D442" s="6"/>
      <c r="E442" s="126"/>
      <c r="F442" s="6"/>
      <c r="G442" s="12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4" x14ac:dyDescent="0.55000000000000004">
      <c r="A443" s="6"/>
      <c r="B443" s="6"/>
      <c r="C443" s="6"/>
      <c r="D443" s="6"/>
      <c r="E443" s="126"/>
      <c r="F443" s="6"/>
      <c r="G443" s="12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4" x14ac:dyDescent="0.55000000000000004">
      <c r="A444" s="6"/>
      <c r="B444" s="6"/>
      <c r="C444" s="6"/>
      <c r="D444" s="6"/>
      <c r="E444" s="126"/>
      <c r="F444" s="6"/>
      <c r="G444" s="12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4" x14ac:dyDescent="0.55000000000000004">
      <c r="A445" s="6"/>
      <c r="B445" s="6"/>
      <c r="C445" s="6"/>
      <c r="D445" s="6"/>
      <c r="E445" s="126"/>
      <c r="F445" s="6"/>
      <c r="G445" s="12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4" x14ac:dyDescent="0.55000000000000004">
      <c r="A446" s="6"/>
      <c r="B446" s="6"/>
      <c r="C446" s="6"/>
      <c r="D446" s="6"/>
      <c r="E446" s="126"/>
      <c r="F446" s="6"/>
      <c r="G446" s="12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4" x14ac:dyDescent="0.55000000000000004">
      <c r="A447" s="6"/>
      <c r="B447" s="6"/>
      <c r="C447" s="6"/>
      <c r="D447" s="6"/>
      <c r="E447" s="126"/>
      <c r="F447" s="6"/>
      <c r="G447" s="12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4" x14ac:dyDescent="0.55000000000000004">
      <c r="A448" s="6"/>
      <c r="B448" s="6"/>
      <c r="C448" s="6"/>
      <c r="D448" s="6"/>
      <c r="E448" s="126"/>
      <c r="F448" s="6"/>
      <c r="G448" s="12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4" x14ac:dyDescent="0.55000000000000004">
      <c r="A449" s="6"/>
      <c r="B449" s="6"/>
      <c r="C449" s="6"/>
      <c r="D449" s="6"/>
      <c r="E449" s="126"/>
      <c r="F449" s="6"/>
      <c r="G449" s="12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4" x14ac:dyDescent="0.55000000000000004">
      <c r="A450" s="6"/>
      <c r="B450" s="6"/>
      <c r="C450" s="6"/>
      <c r="D450" s="6"/>
      <c r="E450" s="126"/>
      <c r="F450" s="6"/>
      <c r="G450" s="12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4" x14ac:dyDescent="0.55000000000000004">
      <c r="A451" s="6"/>
      <c r="B451" s="6"/>
      <c r="C451" s="6"/>
      <c r="D451" s="6"/>
      <c r="E451" s="126"/>
      <c r="F451" s="6"/>
      <c r="G451" s="12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4" x14ac:dyDescent="0.55000000000000004">
      <c r="A452" s="6"/>
      <c r="B452" s="6"/>
      <c r="C452" s="6"/>
      <c r="D452" s="6"/>
      <c r="E452" s="126"/>
      <c r="F452" s="6"/>
      <c r="G452" s="12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4" x14ac:dyDescent="0.55000000000000004">
      <c r="A453" s="6"/>
      <c r="B453" s="6"/>
      <c r="C453" s="6"/>
      <c r="D453" s="6"/>
      <c r="E453" s="126"/>
      <c r="F453" s="6"/>
      <c r="G453" s="12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4" x14ac:dyDescent="0.55000000000000004">
      <c r="A454" s="6"/>
      <c r="B454" s="6"/>
      <c r="C454" s="6"/>
      <c r="D454" s="6"/>
      <c r="E454" s="126"/>
      <c r="F454" s="6"/>
      <c r="G454" s="12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4" x14ac:dyDescent="0.55000000000000004">
      <c r="A455" s="6"/>
      <c r="B455" s="6"/>
      <c r="C455" s="6"/>
      <c r="D455" s="6"/>
      <c r="E455" s="126"/>
      <c r="F455" s="6"/>
      <c r="G455" s="12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4" x14ac:dyDescent="0.55000000000000004">
      <c r="A456" s="6"/>
      <c r="B456" s="6"/>
      <c r="C456" s="6"/>
      <c r="D456" s="6"/>
      <c r="E456" s="126"/>
      <c r="F456" s="6"/>
      <c r="G456" s="12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4" x14ac:dyDescent="0.55000000000000004">
      <c r="A457" s="6"/>
      <c r="B457" s="6"/>
      <c r="C457" s="6"/>
      <c r="D457" s="6"/>
      <c r="E457" s="126"/>
      <c r="F457" s="6"/>
      <c r="G457" s="12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4" x14ac:dyDescent="0.55000000000000004">
      <c r="A458" s="6"/>
      <c r="B458" s="6"/>
      <c r="C458" s="6"/>
      <c r="D458" s="6"/>
      <c r="E458" s="126"/>
      <c r="F458" s="6"/>
      <c r="G458" s="12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4" x14ac:dyDescent="0.55000000000000004">
      <c r="A459" s="6"/>
      <c r="B459" s="6"/>
      <c r="C459" s="6"/>
      <c r="D459" s="6"/>
      <c r="E459" s="126"/>
      <c r="F459" s="6"/>
      <c r="G459" s="12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4" x14ac:dyDescent="0.55000000000000004">
      <c r="A460" s="6"/>
      <c r="B460" s="6"/>
      <c r="C460" s="6"/>
      <c r="D460" s="6"/>
      <c r="E460" s="126"/>
      <c r="F460" s="6"/>
      <c r="G460" s="12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4" x14ac:dyDescent="0.55000000000000004">
      <c r="A461" s="6"/>
      <c r="B461" s="6"/>
      <c r="C461" s="6"/>
      <c r="D461" s="6"/>
      <c r="E461" s="126"/>
      <c r="F461" s="6"/>
      <c r="G461" s="12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4" x14ac:dyDescent="0.55000000000000004">
      <c r="A462" s="6"/>
      <c r="B462" s="6"/>
      <c r="C462" s="6"/>
      <c r="D462" s="6"/>
      <c r="E462" s="126"/>
      <c r="F462" s="6"/>
      <c r="G462" s="12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4" x14ac:dyDescent="0.55000000000000004">
      <c r="A463" s="6"/>
      <c r="B463" s="6"/>
      <c r="C463" s="6"/>
      <c r="D463" s="6"/>
      <c r="E463" s="126"/>
      <c r="F463" s="6"/>
      <c r="G463" s="12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4" x14ac:dyDescent="0.55000000000000004">
      <c r="A464" s="6"/>
      <c r="B464" s="6"/>
      <c r="C464" s="6"/>
      <c r="D464" s="6"/>
      <c r="E464" s="126"/>
      <c r="F464" s="6"/>
      <c r="G464" s="12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4" x14ac:dyDescent="0.55000000000000004">
      <c r="A465" s="6"/>
      <c r="B465" s="6"/>
      <c r="C465" s="6"/>
      <c r="D465" s="6"/>
      <c r="E465" s="126"/>
      <c r="F465" s="6"/>
      <c r="G465" s="12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4" x14ac:dyDescent="0.55000000000000004">
      <c r="A466" s="6"/>
      <c r="B466" s="6"/>
      <c r="C466" s="6"/>
      <c r="D466" s="6"/>
      <c r="E466" s="126"/>
      <c r="F466" s="6"/>
      <c r="G466" s="12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4" x14ac:dyDescent="0.55000000000000004">
      <c r="A467" s="6"/>
      <c r="B467" s="6"/>
      <c r="C467" s="6"/>
      <c r="D467" s="6"/>
      <c r="E467" s="126"/>
      <c r="F467" s="6"/>
      <c r="G467" s="12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4" x14ac:dyDescent="0.55000000000000004">
      <c r="A468" s="6"/>
      <c r="B468" s="6"/>
      <c r="C468" s="6"/>
      <c r="D468" s="6"/>
      <c r="E468" s="126"/>
      <c r="F468" s="6"/>
      <c r="G468" s="12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4" x14ac:dyDescent="0.55000000000000004">
      <c r="A469" s="6"/>
      <c r="B469" s="6"/>
      <c r="C469" s="6"/>
      <c r="D469" s="6"/>
      <c r="E469" s="126"/>
      <c r="F469" s="6"/>
      <c r="G469" s="12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4" x14ac:dyDescent="0.55000000000000004">
      <c r="A470" s="6"/>
      <c r="B470" s="6"/>
      <c r="C470" s="6"/>
      <c r="D470" s="6"/>
      <c r="E470" s="126"/>
      <c r="F470" s="6"/>
      <c r="G470" s="12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4" x14ac:dyDescent="0.55000000000000004">
      <c r="A471" s="6"/>
      <c r="B471" s="6"/>
      <c r="C471" s="6"/>
      <c r="D471" s="6"/>
      <c r="E471" s="126"/>
      <c r="F471" s="6"/>
      <c r="G471" s="12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4" x14ac:dyDescent="0.55000000000000004">
      <c r="A472" s="6"/>
      <c r="B472" s="6"/>
      <c r="C472" s="6"/>
      <c r="D472" s="6"/>
      <c r="E472" s="126"/>
      <c r="F472" s="6"/>
      <c r="G472" s="12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4" x14ac:dyDescent="0.55000000000000004">
      <c r="A473" s="6"/>
      <c r="B473" s="6"/>
      <c r="C473" s="6"/>
      <c r="D473" s="6"/>
      <c r="E473" s="126"/>
      <c r="F473" s="6"/>
      <c r="G473" s="12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4" x14ac:dyDescent="0.55000000000000004">
      <c r="A474" s="6"/>
      <c r="B474" s="6"/>
      <c r="C474" s="6"/>
      <c r="D474" s="6"/>
      <c r="E474" s="126"/>
      <c r="F474" s="6"/>
      <c r="G474" s="12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4" x14ac:dyDescent="0.55000000000000004">
      <c r="A475" s="6"/>
      <c r="B475" s="6"/>
      <c r="C475" s="6"/>
      <c r="D475" s="6"/>
      <c r="E475" s="126"/>
      <c r="F475" s="6"/>
      <c r="G475" s="12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4" x14ac:dyDescent="0.55000000000000004">
      <c r="A476" s="6"/>
      <c r="B476" s="6"/>
      <c r="C476" s="6"/>
      <c r="D476" s="6"/>
      <c r="E476" s="126"/>
      <c r="F476" s="6"/>
      <c r="G476" s="12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4" x14ac:dyDescent="0.55000000000000004">
      <c r="A477" s="6"/>
      <c r="B477" s="6"/>
      <c r="C477" s="6"/>
      <c r="D477" s="6"/>
      <c r="E477" s="126"/>
      <c r="F477" s="6"/>
      <c r="G477" s="12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4" x14ac:dyDescent="0.55000000000000004">
      <c r="A478" s="6"/>
      <c r="B478" s="6"/>
      <c r="C478" s="6"/>
      <c r="D478" s="6"/>
      <c r="E478" s="126"/>
      <c r="F478" s="6"/>
      <c r="G478" s="12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4" x14ac:dyDescent="0.55000000000000004">
      <c r="A479" s="6"/>
      <c r="B479" s="6"/>
      <c r="C479" s="6"/>
      <c r="D479" s="6"/>
      <c r="E479" s="126"/>
      <c r="F479" s="6"/>
      <c r="G479" s="12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4" x14ac:dyDescent="0.55000000000000004">
      <c r="A480" s="6"/>
      <c r="B480" s="6"/>
      <c r="C480" s="6"/>
      <c r="D480" s="6"/>
      <c r="E480" s="126"/>
      <c r="F480" s="6"/>
      <c r="G480" s="12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4" x14ac:dyDescent="0.55000000000000004">
      <c r="A481" s="6"/>
      <c r="B481" s="6"/>
      <c r="C481" s="6"/>
      <c r="D481" s="6"/>
      <c r="E481" s="126"/>
      <c r="F481" s="6"/>
      <c r="G481" s="12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4" x14ac:dyDescent="0.55000000000000004">
      <c r="A482" s="6"/>
      <c r="B482" s="6"/>
      <c r="C482" s="6"/>
      <c r="D482" s="6"/>
      <c r="E482" s="126"/>
      <c r="F482" s="6"/>
      <c r="G482" s="12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4" x14ac:dyDescent="0.55000000000000004">
      <c r="A483" s="6"/>
      <c r="B483" s="6"/>
      <c r="C483" s="6"/>
      <c r="D483" s="6"/>
      <c r="E483" s="126"/>
      <c r="F483" s="6"/>
      <c r="G483" s="12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4" x14ac:dyDescent="0.55000000000000004">
      <c r="A484" s="6"/>
      <c r="B484" s="6"/>
      <c r="C484" s="6"/>
      <c r="D484" s="6"/>
      <c r="E484" s="126"/>
      <c r="F484" s="6"/>
      <c r="G484" s="12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4" x14ac:dyDescent="0.55000000000000004">
      <c r="A485" s="6"/>
      <c r="B485" s="6"/>
      <c r="C485" s="6"/>
      <c r="D485" s="6"/>
      <c r="E485" s="126"/>
      <c r="F485" s="6"/>
      <c r="G485" s="12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4" x14ac:dyDescent="0.55000000000000004">
      <c r="A486" s="6"/>
      <c r="B486" s="6"/>
      <c r="C486" s="6"/>
      <c r="D486" s="6"/>
      <c r="E486" s="126"/>
      <c r="F486" s="6"/>
      <c r="G486" s="12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4" x14ac:dyDescent="0.55000000000000004">
      <c r="A487" s="6"/>
      <c r="B487" s="6"/>
      <c r="C487" s="6"/>
      <c r="D487" s="6"/>
      <c r="E487" s="126"/>
      <c r="F487" s="6"/>
      <c r="G487" s="12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4" x14ac:dyDescent="0.55000000000000004">
      <c r="A488" s="6"/>
      <c r="B488" s="6"/>
      <c r="C488" s="6"/>
      <c r="D488" s="6"/>
      <c r="E488" s="126"/>
      <c r="F488" s="6"/>
      <c r="G488" s="12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4" x14ac:dyDescent="0.55000000000000004">
      <c r="A489" s="6"/>
      <c r="B489" s="6"/>
      <c r="C489" s="6"/>
      <c r="D489" s="6"/>
      <c r="E489" s="126"/>
      <c r="F489" s="6"/>
      <c r="G489" s="12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4" x14ac:dyDescent="0.55000000000000004">
      <c r="A490" s="6"/>
      <c r="B490" s="6"/>
      <c r="C490" s="6"/>
      <c r="D490" s="6"/>
      <c r="E490" s="126"/>
      <c r="F490" s="6"/>
      <c r="G490" s="12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4" x14ac:dyDescent="0.55000000000000004">
      <c r="A491" s="6"/>
      <c r="B491" s="6"/>
      <c r="C491" s="6"/>
      <c r="D491" s="6"/>
      <c r="E491" s="126"/>
      <c r="F491" s="6"/>
      <c r="G491" s="12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4" x14ac:dyDescent="0.55000000000000004">
      <c r="A492" s="6"/>
      <c r="B492" s="6"/>
      <c r="C492" s="6"/>
      <c r="D492" s="6"/>
      <c r="E492" s="126"/>
      <c r="F492" s="6"/>
      <c r="G492" s="12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4" x14ac:dyDescent="0.55000000000000004">
      <c r="A493" s="6"/>
      <c r="B493" s="6"/>
      <c r="C493" s="6"/>
      <c r="D493" s="6"/>
      <c r="E493" s="126"/>
      <c r="F493" s="6"/>
      <c r="G493" s="12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4" x14ac:dyDescent="0.55000000000000004">
      <c r="A494" s="6"/>
      <c r="B494" s="6"/>
      <c r="C494" s="6"/>
      <c r="D494" s="6"/>
      <c r="E494" s="126"/>
      <c r="F494" s="6"/>
      <c r="G494" s="12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4" x14ac:dyDescent="0.55000000000000004">
      <c r="A495" s="6"/>
      <c r="B495" s="6"/>
      <c r="C495" s="6"/>
      <c r="D495" s="6"/>
      <c r="E495" s="126"/>
      <c r="F495" s="6"/>
      <c r="G495" s="12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4" x14ac:dyDescent="0.55000000000000004">
      <c r="A496" s="6"/>
      <c r="B496" s="6"/>
      <c r="C496" s="6"/>
      <c r="D496" s="6"/>
      <c r="E496" s="126"/>
      <c r="F496" s="6"/>
      <c r="G496" s="12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4" x14ac:dyDescent="0.55000000000000004">
      <c r="A497" s="6"/>
      <c r="B497" s="6"/>
      <c r="C497" s="6"/>
      <c r="D497" s="6"/>
      <c r="E497" s="126"/>
      <c r="F497" s="6"/>
      <c r="G497" s="12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4" x14ac:dyDescent="0.55000000000000004">
      <c r="A498" s="6"/>
      <c r="B498" s="6"/>
      <c r="C498" s="6"/>
      <c r="D498" s="6"/>
      <c r="E498" s="126"/>
      <c r="F498" s="6"/>
      <c r="G498" s="12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4" x14ac:dyDescent="0.55000000000000004">
      <c r="A499" s="6"/>
      <c r="B499" s="6"/>
      <c r="C499" s="6"/>
      <c r="D499" s="6"/>
      <c r="E499" s="126"/>
      <c r="F499" s="6"/>
      <c r="G499" s="12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4" x14ac:dyDescent="0.55000000000000004">
      <c r="A500" s="6"/>
      <c r="B500" s="6"/>
      <c r="C500" s="6"/>
      <c r="D500" s="6"/>
      <c r="E500" s="126"/>
      <c r="F500" s="6"/>
      <c r="G500" s="12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4" x14ac:dyDescent="0.55000000000000004">
      <c r="A501" s="6"/>
      <c r="B501" s="6"/>
      <c r="C501" s="6"/>
      <c r="D501" s="6"/>
      <c r="E501" s="126"/>
      <c r="F501" s="6"/>
      <c r="G501" s="12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4" x14ac:dyDescent="0.55000000000000004">
      <c r="A502" s="6"/>
      <c r="B502" s="6"/>
      <c r="C502" s="6"/>
      <c r="D502" s="6"/>
      <c r="E502" s="126"/>
      <c r="F502" s="6"/>
      <c r="G502" s="12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4" x14ac:dyDescent="0.55000000000000004">
      <c r="A503" s="6"/>
      <c r="B503" s="6"/>
      <c r="C503" s="6"/>
      <c r="D503" s="6"/>
      <c r="E503" s="126"/>
      <c r="F503" s="6"/>
      <c r="G503" s="12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4" x14ac:dyDescent="0.55000000000000004">
      <c r="A504" s="6"/>
      <c r="B504" s="6"/>
      <c r="C504" s="6"/>
      <c r="D504" s="6"/>
      <c r="E504" s="126"/>
      <c r="F504" s="6"/>
      <c r="G504" s="12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4" x14ac:dyDescent="0.55000000000000004">
      <c r="A505" s="6"/>
      <c r="B505" s="6"/>
      <c r="C505" s="6"/>
      <c r="D505" s="6"/>
      <c r="E505" s="126"/>
      <c r="F505" s="6"/>
      <c r="G505" s="12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4" x14ac:dyDescent="0.55000000000000004">
      <c r="A506" s="6"/>
      <c r="B506" s="6"/>
      <c r="C506" s="6"/>
      <c r="D506" s="6"/>
      <c r="E506" s="126"/>
      <c r="F506" s="6"/>
      <c r="G506" s="12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4" x14ac:dyDescent="0.55000000000000004">
      <c r="A507" s="6"/>
      <c r="B507" s="6"/>
      <c r="C507" s="6"/>
      <c r="D507" s="6"/>
      <c r="E507" s="126"/>
      <c r="F507" s="6"/>
      <c r="G507" s="12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4" x14ac:dyDescent="0.55000000000000004">
      <c r="A508" s="6"/>
      <c r="B508" s="6"/>
      <c r="C508" s="6"/>
      <c r="D508" s="6"/>
      <c r="E508" s="126"/>
      <c r="F508" s="6"/>
      <c r="G508" s="12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4" x14ac:dyDescent="0.55000000000000004">
      <c r="A509" s="6"/>
      <c r="B509" s="6"/>
      <c r="C509" s="6"/>
      <c r="D509" s="6"/>
      <c r="E509" s="126"/>
      <c r="F509" s="6"/>
      <c r="G509" s="12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4" x14ac:dyDescent="0.55000000000000004">
      <c r="A510" s="6"/>
      <c r="B510" s="6"/>
      <c r="C510" s="6"/>
      <c r="D510" s="6"/>
      <c r="E510" s="126"/>
      <c r="F510" s="6"/>
      <c r="G510" s="12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4" x14ac:dyDescent="0.55000000000000004">
      <c r="A511" s="6"/>
      <c r="B511" s="6"/>
      <c r="C511" s="6"/>
      <c r="D511" s="6"/>
      <c r="E511" s="126"/>
      <c r="F511" s="6"/>
      <c r="G511" s="12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4" x14ac:dyDescent="0.55000000000000004">
      <c r="A512" s="6"/>
      <c r="B512" s="6"/>
      <c r="C512" s="6"/>
      <c r="D512" s="6"/>
      <c r="E512" s="126"/>
      <c r="F512" s="6"/>
      <c r="G512" s="12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4" x14ac:dyDescent="0.55000000000000004">
      <c r="A513" s="6"/>
      <c r="B513" s="6"/>
      <c r="C513" s="6"/>
      <c r="D513" s="6"/>
      <c r="E513" s="126"/>
      <c r="F513" s="6"/>
      <c r="G513" s="12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4" x14ac:dyDescent="0.55000000000000004">
      <c r="A514" s="6"/>
      <c r="B514" s="6"/>
      <c r="C514" s="6"/>
      <c r="D514" s="6"/>
      <c r="E514" s="126"/>
      <c r="F514" s="6"/>
      <c r="G514" s="12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4" x14ac:dyDescent="0.55000000000000004">
      <c r="A515" s="6"/>
      <c r="B515" s="6"/>
      <c r="C515" s="6"/>
      <c r="D515" s="6"/>
      <c r="E515" s="126"/>
      <c r="F515" s="6"/>
      <c r="G515" s="12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4" x14ac:dyDescent="0.55000000000000004">
      <c r="A516" s="6"/>
      <c r="B516" s="6"/>
      <c r="C516" s="6"/>
      <c r="D516" s="6"/>
      <c r="E516" s="126"/>
      <c r="F516" s="6"/>
      <c r="G516" s="12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4" x14ac:dyDescent="0.55000000000000004">
      <c r="A517" s="6"/>
      <c r="B517" s="6"/>
      <c r="C517" s="6"/>
      <c r="D517" s="6"/>
      <c r="E517" s="126"/>
      <c r="F517" s="6"/>
      <c r="G517" s="12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4" x14ac:dyDescent="0.55000000000000004">
      <c r="A518" s="6"/>
      <c r="B518" s="6"/>
      <c r="C518" s="6"/>
      <c r="D518" s="6"/>
      <c r="E518" s="126"/>
      <c r="F518" s="6"/>
      <c r="G518" s="12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4" x14ac:dyDescent="0.55000000000000004">
      <c r="A519" s="6"/>
      <c r="B519" s="6"/>
      <c r="C519" s="6"/>
      <c r="D519" s="6"/>
      <c r="E519" s="126"/>
      <c r="F519" s="6"/>
      <c r="G519" s="12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4" x14ac:dyDescent="0.55000000000000004">
      <c r="A520" s="6"/>
      <c r="B520" s="6"/>
      <c r="C520" s="6"/>
      <c r="D520" s="6"/>
      <c r="E520" s="126"/>
      <c r="F520" s="6"/>
      <c r="G520" s="12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4" x14ac:dyDescent="0.55000000000000004">
      <c r="A521" s="6"/>
      <c r="B521" s="6"/>
      <c r="C521" s="6"/>
      <c r="D521" s="6"/>
      <c r="E521" s="126"/>
      <c r="F521" s="6"/>
      <c r="G521" s="12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4" x14ac:dyDescent="0.55000000000000004">
      <c r="A522" s="6"/>
      <c r="B522" s="6"/>
      <c r="C522" s="6"/>
      <c r="D522" s="6"/>
      <c r="E522" s="126"/>
      <c r="F522" s="6"/>
      <c r="G522" s="12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4" x14ac:dyDescent="0.55000000000000004">
      <c r="A523" s="6"/>
      <c r="B523" s="6"/>
      <c r="C523" s="6"/>
      <c r="D523" s="6"/>
      <c r="E523" s="126"/>
      <c r="F523" s="6"/>
      <c r="G523" s="12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4" x14ac:dyDescent="0.55000000000000004">
      <c r="A524" s="6"/>
      <c r="B524" s="6"/>
      <c r="C524" s="6"/>
      <c r="D524" s="6"/>
      <c r="E524" s="126"/>
      <c r="F524" s="6"/>
      <c r="G524" s="12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4" x14ac:dyDescent="0.55000000000000004">
      <c r="A525" s="6"/>
      <c r="B525" s="6"/>
      <c r="C525" s="6"/>
      <c r="D525" s="6"/>
      <c r="E525" s="126"/>
      <c r="F525" s="6"/>
      <c r="G525" s="12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4" x14ac:dyDescent="0.55000000000000004">
      <c r="A526" s="6"/>
      <c r="B526" s="6"/>
      <c r="C526" s="6"/>
      <c r="D526" s="6"/>
      <c r="E526" s="126"/>
      <c r="F526" s="6"/>
      <c r="G526" s="12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4" x14ac:dyDescent="0.55000000000000004">
      <c r="A527" s="6"/>
      <c r="B527" s="6"/>
      <c r="C527" s="6"/>
      <c r="D527" s="6"/>
      <c r="E527" s="126"/>
      <c r="F527" s="6"/>
      <c r="G527" s="12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4" x14ac:dyDescent="0.55000000000000004">
      <c r="A528" s="6"/>
      <c r="B528" s="6"/>
      <c r="C528" s="6"/>
      <c r="D528" s="6"/>
      <c r="E528" s="126"/>
      <c r="F528" s="6"/>
      <c r="G528" s="12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4" x14ac:dyDescent="0.55000000000000004">
      <c r="A529" s="6"/>
      <c r="B529" s="6"/>
      <c r="C529" s="6"/>
      <c r="D529" s="6"/>
      <c r="E529" s="126"/>
      <c r="F529" s="6"/>
      <c r="G529" s="12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4" x14ac:dyDescent="0.55000000000000004">
      <c r="A530" s="6"/>
      <c r="B530" s="6"/>
      <c r="C530" s="6"/>
      <c r="D530" s="6"/>
      <c r="E530" s="126"/>
      <c r="F530" s="6"/>
      <c r="G530" s="12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4" x14ac:dyDescent="0.55000000000000004">
      <c r="A531" s="6"/>
      <c r="B531" s="6"/>
      <c r="C531" s="6"/>
      <c r="D531" s="6"/>
      <c r="E531" s="126"/>
      <c r="F531" s="6"/>
      <c r="G531" s="12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4" x14ac:dyDescent="0.55000000000000004">
      <c r="A532" s="6"/>
      <c r="B532" s="6"/>
      <c r="C532" s="6"/>
      <c r="D532" s="6"/>
      <c r="E532" s="126"/>
      <c r="F532" s="6"/>
      <c r="G532" s="12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4" x14ac:dyDescent="0.55000000000000004">
      <c r="A533" s="6"/>
      <c r="B533" s="6"/>
      <c r="C533" s="6"/>
      <c r="D533" s="6"/>
      <c r="E533" s="126"/>
      <c r="F533" s="6"/>
      <c r="G533" s="12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4" x14ac:dyDescent="0.55000000000000004">
      <c r="A534" s="6"/>
      <c r="B534" s="6"/>
      <c r="C534" s="6"/>
      <c r="D534" s="6"/>
      <c r="E534" s="126"/>
      <c r="F534" s="6"/>
      <c r="G534" s="12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4" x14ac:dyDescent="0.55000000000000004">
      <c r="A535" s="6"/>
      <c r="B535" s="6"/>
      <c r="C535" s="6"/>
      <c r="D535" s="6"/>
      <c r="E535" s="126"/>
      <c r="F535" s="6"/>
      <c r="G535" s="12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4" x14ac:dyDescent="0.55000000000000004">
      <c r="A536" s="6"/>
      <c r="B536" s="6"/>
      <c r="C536" s="6"/>
      <c r="D536" s="6"/>
      <c r="E536" s="126"/>
      <c r="F536" s="6"/>
      <c r="G536" s="12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4" x14ac:dyDescent="0.55000000000000004">
      <c r="A537" s="6"/>
      <c r="B537" s="6"/>
      <c r="C537" s="6"/>
      <c r="D537" s="6"/>
      <c r="E537" s="126"/>
      <c r="F537" s="6"/>
      <c r="G537" s="12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4" x14ac:dyDescent="0.55000000000000004">
      <c r="A538" s="6"/>
      <c r="B538" s="6"/>
      <c r="C538" s="6"/>
      <c r="D538" s="6"/>
      <c r="E538" s="126"/>
      <c r="F538" s="6"/>
      <c r="G538" s="12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4" x14ac:dyDescent="0.55000000000000004">
      <c r="A539" s="6"/>
      <c r="B539" s="6"/>
      <c r="C539" s="6"/>
      <c r="D539" s="6"/>
      <c r="E539" s="126"/>
      <c r="F539" s="6"/>
      <c r="G539" s="12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4" x14ac:dyDescent="0.55000000000000004">
      <c r="A540" s="6"/>
      <c r="B540" s="6"/>
      <c r="C540" s="6"/>
      <c r="D540" s="6"/>
      <c r="E540" s="126"/>
      <c r="F540" s="6"/>
      <c r="G540" s="12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4" x14ac:dyDescent="0.55000000000000004">
      <c r="A541" s="6"/>
      <c r="B541" s="6"/>
      <c r="C541" s="6"/>
      <c r="D541" s="6"/>
      <c r="E541" s="126"/>
      <c r="F541" s="6"/>
      <c r="G541" s="12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4" x14ac:dyDescent="0.55000000000000004">
      <c r="A542" s="6"/>
      <c r="B542" s="6"/>
      <c r="C542" s="6"/>
      <c r="D542" s="6"/>
      <c r="E542" s="126"/>
      <c r="F542" s="6"/>
      <c r="G542" s="12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4" x14ac:dyDescent="0.55000000000000004">
      <c r="A543" s="6"/>
      <c r="B543" s="6"/>
      <c r="C543" s="6"/>
      <c r="D543" s="6"/>
      <c r="E543" s="126"/>
      <c r="F543" s="6"/>
      <c r="G543" s="12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4" x14ac:dyDescent="0.55000000000000004">
      <c r="A544" s="6"/>
      <c r="B544" s="6"/>
      <c r="C544" s="6"/>
      <c r="D544" s="6"/>
      <c r="E544" s="126"/>
      <c r="F544" s="6"/>
      <c r="G544" s="12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4" x14ac:dyDescent="0.55000000000000004">
      <c r="A545" s="6"/>
      <c r="B545" s="6"/>
      <c r="C545" s="6"/>
      <c r="D545" s="6"/>
      <c r="E545" s="126"/>
      <c r="F545" s="6"/>
      <c r="G545" s="12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4" x14ac:dyDescent="0.55000000000000004">
      <c r="A546" s="6"/>
      <c r="B546" s="6"/>
      <c r="C546" s="6"/>
      <c r="D546" s="6"/>
      <c r="E546" s="126"/>
      <c r="F546" s="6"/>
      <c r="G546" s="12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4" x14ac:dyDescent="0.55000000000000004">
      <c r="A547" s="6"/>
      <c r="B547" s="6"/>
      <c r="C547" s="6"/>
      <c r="D547" s="6"/>
      <c r="E547" s="126"/>
      <c r="F547" s="6"/>
      <c r="G547" s="12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4" x14ac:dyDescent="0.55000000000000004">
      <c r="A548" s="6"/>
      <c r="B548" s="6"/>
      <c r="C548" s="6"/>
      <c r="D548" s="6"/>
      <c r="E548" s="126"/>
      <c r="F548" s="6"/>
      <c r="G548" s="12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4" x14ac:dyDescent="0.55000000000000004">
      <c r="A549" s="6"/>
      <c r="B549" s="6"/>
      <c r="C549" s="6"/>
      <c r="D549" s="6"/>
      <c r="E549" s="126"/>
      <c r="F549" s="6"/>
      <c r="G549" s="12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4" x14ac:dyDescent="0.55000000000000004">
      <c r="A550" s="6"/>
      <c r="B550" s="6"/>
      <c r="C550" s="6"/>
      <c r="D550" s="6"/>
      <c r="E550" s="126"/>
      <c r="F550" s="6"/>
      <c r="G550" s="12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4" x14ac:dyDescent="0.55000000000000004">
      <c r="A551" s="6"/>
      <c r="B551" s="6"/>
      <c r="C551" s="6"/>
      <c r="D551" s="6"/>
      <c r="E551" s="126"/>
      <c r="F551" s="6"/>
      <c r="G551" s="12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4" x14ac:dyDescent="0.55000000000000004">
      <c r="A552" s="6"/>
      <c r="B552" s="6"/>
      <c r="C552" s="6"/>
      <c r="D552" s="6"/>
      <c r="E552" s="126"/>
      <c r="F552" s="6"/>
      <c r="G552" s="12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4" x14ac:dyDescent="0.55000000000000004">
      <c r="A553" s="6"/>
      <c r="B553" s="6"/>
      <c r="C553" s="6"/>
      <c r="D553" s="6"/>
      <c r="E553" s="126"/>
      <c r="F553" s="6"/>
      <c r="G553" s="12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4" x14ac:dyDescent="0.55000000000000004">
      <c r="A554" s="6"/>
      <c r="B554" s="6"/>
      <c r="C554" s="6"/>
      <c r="D554" s="6"/>
      <c r="E554" s="126"/>
      <c r="F554" s="6"/>
      <c r="G554" s="12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4" x14ac:dyDescent="0.55000000000000004">
      <c r="A555" s="6"/>
      <c r="B555" s="6"/>
      <c r="C555" s="6"/>
      <c r="D555" s="6"/>
      <c r="E555" s="126"/>
      <c r="F555" s="6"/>
      <c r="G555" s="12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4" x14ac:dyDescent="0.55000000000000004">
      <c r="A556" s="6"/>
      <c r="B556" s="6"/>
      <c r="C556" s="6"/>
      <c r="D556" s="6"/>
      <c r="E556" s="126"/>
      <c r="F556" s="6"/>
      <c r="G556" s="12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4" x14ac:dyDescent="0.55000000000000004">
      <c r="A557" s="6"/>
      <c r="B557" s="6"/>
      <c r="C557" s="6"/>
      <c r="D557" s="6"/>
      <c r="E557" s="126"/>
      <c r="F557" s="6"/>
      <c r="G557" s="12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4" x14ac:dyDescent="0.55000000000000004">
      <c r="A558" s="6"/>
      <c r="B558" s="6"/>
      <c r="C558" s="6"/>
      <c r="D558" s="6"/>
      <c r="E558" s="126"/>
      <c r="F558" s="6"/>
      <c r="G558" s="12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4" x14ac:dyDescent="0.55000000000000004">
      <c r="A559" s="6"/>
      <c r="B559" s="6"/>
      <c r="C559" s="6"/>
      <c r="D559" s="6"/>
      <c r="E559" s="126"/>
      <c r="F559" s="6"/>
      <c r="G559" s="12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4" x14ac:dyDescent="0.55000000000000004">
      <c r="A560" s="6"/>
      <c r="B560" s="6"/>
      <c r="C560" s="6"/>
      <c r="D560" s="6"/>
      <c r="E560" s="126"/>
      <c r="F560" s="6"/>
      <c r="G560" s="12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4" x14ac:dyDescent="0.55000000000000004">
      <c r="A561" s="6"/>
      <c r="B561" s="6"/>
      <c r="C561" s="6"/>
      <c r="D561" s="6"/>
      <c r="E561" s="126"/>
      <c r="F561" s="6"/>
      <c r="G561" s="12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4" x14ac:dyDescent="0.55000000000000004">
      <c r="A562" s="6"/>
      <c r="B562" s="6"/>
      <c r="C562" s="6"/>
      <c r="D562" s="6"/>
      <c r="E562" s="126"/>
      <c r="F562" s="6"/>
      <c r="G562" s="12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4" x14ac:dyDescent="0.55000000000000004">
      <c r="A563" s="6"/>
      <c r="B563" s="6"/>
      <c r="C563" s="6"/>
      <c r="D563" s="6"/>
      <c r="E563" s="126"/>
      <c r="F563" s="6"/>
      <c r="G563" s="12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4" x14ac:dyDescent="0.55000000000000004">
      <c r="A564" s="6"/>
      <c r="B564" s="6"/>
      <c r="C564" s="6"/>
      <c r="D564" s="6"/>
      <c r="E564" s="126"/>
      <c r="F564" s="6"/>
      <c r="G564" s="12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4" x14ac:dyDescent="0.55000000000000004">
      <c r="A565" s="6"/>
      <c r="B565" s="6"/>
      <c r="C565" s="6"/>
      <c r="D565" s="6"/>
      <c r="E565" s="126"/>
      <c r="F565" s="6"/>
      <c r="G565" s="12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4" x14ac:dyDescent="0.55000000000000004">
      <c r="A566" s="6"/>
      <c r="B566" s="6"/>
      <c r="C566" s="6"/>
      <c r="D566" s="6"/>
      <c r="E566" s="126"/>
      <c r="F566" s="6"/>
      <c r="G566" s="12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4" x14ac:dyDescent="0.55000000000000004">
      <c r="A567" s="6"/>
      <c r="B567" s="6"/>
      <c r="C567" s="6"/>
      <c r="D567" s="6"/>
      <c r="E567" s="126"/>
      <c r="F567" s="6"/>
      <c r="G567" s="12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4" x14ac:dyDescent="0.55000000000000004">
      <c r="A568" s="6"/>
      <c r="B568" s="6"/>
      <c r="C568" s="6"/>
      <c r="D568" s="6"/>
      <c r="E568" s="126"/>
      <c r="F568" s="6"/>
      <c r="G568" s="12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4" x14ac:dyDescent="0.55000000000000004">
      <c r="A569" s="6"/>
      <c r="B569" s="6"/>
      <c r="C569" s="6"/>
      <c r="D569" s="6"/>
      <c r="E569" s="126"/>
      <c r="F569" s="6"/>
      <c r="G569" s="12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4" x14ac:dyDescent="0.55000000000000004">
      <c r="A570" s="6"/>
      <c r="B570" s="6"/>
      <c r="C570" s="6"/>
      <c r="D570" s="6"/>
      <c r="E570" s="126"/>
      <c r="F570" s="6"/>
      <c r="G570" s="12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4" x14ac:dyDescent="0.55000000000000004">
      <c r="A571" s="6"/>
      <c r="B571" s="6"/>
      <c r="C571" s="6"/>
      <c r="D571" s="6"/>
      <c r="E571" s="126"/>
      <c r="F571" s="6"/>
      <c r="G571" s="12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4" x14ac:dyDescent="0.55000000000000004">
      <c r="A572" s="6"/>
      <c r="B572" s="6"/>
      <c r="C572" s="6"/>
      <c r="D572" s="6"/>
      <c r="E572" s="126"/>
      <c r="F572" s="6"/>
      <c r="G572" s="12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4" x14ac:dyDescent="0.55000000000000004">
      <c r="A573" s="6"/>
      <c r="B573" s="6"/>
      <c r="C573" s="6"/>
      <c r="D573" s="6"/>
      <c r="E573" s="126"/>
      <c r="F573" s="6"/>
      <c r="G573" s="12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4" x14ac:dyDescent="0.55000000000000004">
      <c r="A574" s="6"/>
      <c r="B574" s="6"/>
      <c r="C574" s="6"/>
      <c r="D574" s="6"/>
      <c r="E574" s="126"/>
      <c r="F574" s="6"/>
      <c r="G574" s="12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4" x14ac:dyDescent="0.55000000000000004">
      <c r="A575" s="6"/>
      <c r="B575" s="6"/>
      <c r="C575" s="6"/>
      <c r="D575" s="6"/>
      <c r="E575" s="126"/>
      <c r="F575" s="6"/>
      <c r="G575" s="12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4" x14ac:dyDescent="0.55000000000000004">
      <c r="A576" s="6"/>
      <c r="B576" s="6"/>
      <c r="C576" s="6"/>
      <c r="D576" s="6"/>
      <c r="E576" s="126"/>
      <c r="F576" s="6"/>
      <c r="G576" s="12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4" x14ac:dyDescent="0.55000000000000004">
      <c r="A577" s="6"/>
      <c r="B577" s="6"/>
      <c r="C577" s="6"/>
      <c r="D577" s="6"/>
      <c r="E577" s="126"/>
      <c r="F577" s="6"/>
      <c r="G577" s="12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4" x14ac:dyDescent="0.55000000000000004">
      <c r="A578" s="6"/>
      <c r="B578" s="6"/>
      <c r="C578" s="6"/>
      <c r="D578" s="6"/>
      <c r="E578" s="126"/>
      <c r="F578" s="6"/>
      <c r="G578" s="12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4" x14ac:dyDescent="0.55000000000000004">
      <c r="A579" s="6"/>
      <c r="B579" s="6"/>
      <c r="C579" s="6"/>
      <c r="D579" s="6"/>
      <c r="E579" s="126"/>
      <c r="F579" s="6"/>
      <c r="G579" s="12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4" x14ac:dyDescent="0.55000000000000004">
      <c r="A580" s="6"/>
      <c r="B580" s="6"/>
      <c r="C580" s="6"/>
      <c r="D580" s="6"/>
      <c r="E580" s="126"/>
      <c r="F580" s="6"/>
      <c r="G580" s="12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4" x14ac:dyDescent="0.55000000000000004">
      <c r="A581" s="6"/>
      <c r="B581" s="6"/>
      <c r="C581" s="6"/>
      <c r="D581" s="6"/>
      <c r="E581" s="126"/>
      <c r="F581" s="6"/>
      <c r="G581" s="12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4" x14ac:dyDescent="0.55000000000000004">
      <c r="A582" s="6"/>
      <c r="B582" s="6"/>
      <c r="C582" s="6"/>
      <c r="D582" s="6"/>
      <c r="E582" s="126"/>
      <c r="F582" s="6"/>
      <c r="G582" s="12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4" x14ac:dyDescent="0.55000000000000004">
      <c r="A583" s="6"/>
      <c r="B583" s="6"/>
      <c r="C583" s="6"/>
      <c r="D583" s="6"/>
      <c r="E583" s="126"/>
      <c r="F583" s="6"/>
      <c r="G583" s="12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4" x14ac:dyDescent="0.55000000000000004">
      <c r="A584" s="6"/>
      <c r="B584" s="6"/>
      <c r="C584" s="6"/>
      <c r="D584" s="6"/>
      <c r="E584" s="126"/>
      <c r="F584" s="6"/>
      <c r="G584" s="12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4" x14ac:dyDescent="0.55000000000000004">
      <c r="A585" s="6"/>
      <c r="B585" s="6"/>
      <c r="C585" s="6"/>
      <c r="D585" s="6"/>
      <c r="E585" s="126"/>
      <c r="F585" s="6"/>
      <c r="G585" s="12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4" x14ac:dyDescent="0.55000000000000004">
      <c r="A586" s="6"/>
      <c r="B586" s="6"/>
      <c r="C586" s="6"/>
      <c r="D586" s="6"/>
      <c r="E586" s="126"/>
      <c r="F586" s="6"/>
      <c r="G586" s="12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4" x14ac:dyDescent="0.55000000000000004">
      <c r="A587" s="6"/>
      <c r="B587" s="6"/>
      <c r="C587" s="6"/>
      <c r="D587" s="6"/>
      <c r="E587" s="126"/>
      <c r="F587" s="6"/>
      <c r="G587" s="12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4" x14ac:dyDescent="0.55000000000000004">
      <c r="A588" s="6"/>
      <c r="B588" s="6"/>
      <c r="C588" s="6"/>
      <c r="D588" s="6"/>
      <c r="E588" s="126"/>
      <c r="F588" s="6"/>
      <c r="G588" s="12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4" x14ac:dyDescent="0.55000000000000004">
      <c r="A589" s="6"/>
      <c r="B589" s="6"/>
      <c r="C589" s="6"/>
      <c r="D589" s="6"/>
      <c r="E589" s="126"/>
      <c r="F589" s="6"/>
      <c r="G589" s="12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4" x14ac:dyDescent="0.55000000000000004">
      <c r="A590" s="6"/>
      <c r="B590" s="6"/>
      <c r="C590" s="6"/>
      <c r="D590" s="6"/>
      <c r="E590" s="126"/>
      <c r="F590" s="6"/>
      <c r="G590" s="12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4" x14ac:dyDescent="0.55000000000000004">
      <c r="A591" s="6"/>
      <c r="B591" s="6"/>
      <c r="C591" s="6"/>
      <c r="D591" s="6"/>
      <c r="E591" s="126"/>
      <c r="F591" s="6"/>
      <c r="G591" s="12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4" x14ac:dyDescent="0.55000000000000004">
      <c r="A592" s="6"/>
      <c r="B592" s="6"/>
      <c r="C592" s="6"/>
      <c r="D592" s="6"/>
      <c r="E592" s="126"/>
      <c r="F592" s="6"/>
      <c r="G592" s="12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4" x14ac:dyDescent="0.55000000000000004">
      <c r="A593" s="6"/>
      <c r="B593" s="6"/>
      <c r="C593" s="6"/>
      <c r="D593" s="6"/>
      <c r="E593" s="126"/>
      <c r="F593" s="6"/>
      <c r="G593" s="12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4" x14ac:dyDescent="0.55000000000000004">
      <c r="A594" s="6"/>
      <c r="B594" s="6"/>
      <c r="C594" s="6"/>
      <c r="D594" s="6"/>
      <c r="E594" s="126"/>
      <c r="F594" s="6"/>
      <c r="G594" s="12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4" x14ac:dyDescent="0.55000000000000004">
      <c r="A595" s="6"/>
      <c r="B595" s="6"/>
      <c r="C595" s="6"/>
      <c r="D595" s="6"/>
      <c r="E595" s="126"/>
      <c r="F595" s="6"/>
      <c r="G595" s="12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4" x14ac:dyDescent="0.55000000000000004">
      <c r="A596" s="6"/>
      <c r="B596" s="6"/>
      <c r="C596" s="6"/>
      <c r="D596" s="6"/>
      <c r="E596" s="126"/>
      <c r="F596" s="6"/>
      <c r="G596" s="12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4" x14ac:dyDescent="0.55000000000000004">
      <c r="A597" s="6"/>
      <c r="B597" s="6"/>
      <c r="C597" s="6"/>
      <c r="D597" s="6"/>
      <c r="E597" s="126"/>
      <c r="F597" s="6"/>
      <c r="G597" s="12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4" x14ac:dyDescent="0.55000000000000004">
      <c r="A598" s="6"/>
      <c r="B598" s="6"/>
      <c r="C598" s="6"/>
      <c r="D598" s="6"/>
      <c r="E598" s="126"/>
      <c r="F598" s="6"/>
      <c r="G598" s="12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4" x14ac:dyDescent="0.55000000000000004">
      <c r="A599" s="6"/>
      <c r="B599" s="6"/>
      <c r="C599" s="6"/>
      <c r="D599" s="6"/>
      <c r="E599" s="126"/>
      <c r="F599" s="6"/>
      <c r="G599" s="12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4" x14ac:dyDescent="0.55000000000000004">
      <c r="A600" s="6"/>
      <c r="B600" s="6"/>
      <c r="C600" s="6"/>
      <c r="D600" s="6"/>
      <c r="E600" s="126"/>
      <c r="F600" s="6"/>
      <c r="G600" s="12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4" x14ac:dyDescent="0.55000000000000004">
      <c r="A601" s="6"/>
      <c r="B601" s="6"/>
      <c r="C601" s="6"/>
      <c r="D601" s="6"/>
      <c r="E601" s="126"/>
      <c r="F601" s="6"/>
      <c r="G601" s="12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4" x14ac:dyDescent="0.55000000000000004">
      <c r="A602" s="6"/>
      <c r="B602" s="6"/>
      <c r="C602" s="6"/>
      <c r="D602" s="6"/>
      <c r="E602" s="126"/>
      <c r="F602" s="6"/>
      <c r="G602" s="12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4" x14ac:dyDescent="0.55000000000000004">
      <c r="A603" s="6"/>
      <c r="B603" s="6"/>
      <c r="C603" s="6"/>
      <c r="D603" s="6"/>
      <c r="E603" s="126"/>
      <c r="F603" s="6"/>
      <c r="G603" s="12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4" x14ac:dyDescent="0.55000000000000004">
      <c r="A604" s="6"/>
      <c r="B604" s="6"/>
      <c r="C604" s="6"/>
      <c r="D604" s="6"/>
      <c r="E604" s="126"/>
      <c r="F604" s="6"/>
      <c r="G604" s="12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4" x14ac:dyDescent="0.55000000000000004">
      <c r="A605" s="6"/>
      <c r="B605" s="6"/>
      <c r="C605" s="6"/>
      <c r="D605" s="6"/>
      <c r="E605" s="126"/>
      <c r="F605" s="6"/>
      <c r="G605" s="12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4" x14ac:dyDescent="0.55000000000000004">
      <c r="A606" s="6"/>
      <c r="B606" s="6"/>
      <c r="C606" s="6"/>
      <c r="D606" s="6"/>
      <c r="E606" s="126"/>
      <c r="F606" s="6"/>
      <c r="G606" s="12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4" x14ac:dyDescent="0.55000000000000004">
      <c r="A607" s="6"/>
      <c r="B607" s="6"/>
      <c r="C607" s="6"/>
      <c r="D607" s="6"/>
      <c r="E607" s="126"/>
      <c r="F607" s="6"/>
      <c r="G607" s="12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4" x14ac:dyDescent="0.55000000000000004">
      <c r="A608" s="6"/>
      <c r="B608" s="6"/>
      <c r="C608" s="6"/>
      <c r="D608" s="6"/>
      <c r="E608" s="126"/>
      <c r="F608" s="6"/>
      <c r="G608" s="12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4" x14ac:dyDescent="0.55000000000000004">
      <c r="A609" s="6"/>
      <c r="B609" s="6"/>
      <c r="C609" s="6"/>
      <c r="D609" s="6"/>
      <c r="E609" s="126"/>
      <c r="F609" s="6"/>
      <c r="G609" s="12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4" x14ac:dyDescent="0.55000000000000004">
      <c r="A610" s="6"/>
      <c r="B610" s="6"/>
      <c r="C610" s="6"/>
      <c r="D610" s="6"/>
      <c r="E610" s="126"/>
      <c r="F610" s="6"/>
      <c r="G610" s="12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4" x14ac:dyDescent="0.55000000000000004">
      <c r="A611" s="6"/>
      <c r="B611" s="6"/>
      <c r="C611" s="6"/>
      <c r="D611" s="6"/>
      <c r="E611" s="126"/>
      <c r="F611" s="6"/>
      <c r="G611" s="12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4" x14ac:dyDescent="0.55000000000000004">
      <c r="A612" s="6"/>
      <c r="B612" s="6"/>
      <c r="C612" s="6"/>
      <c r="D612" s="6"/>
      <c r="E612" s="126"/>
      <c r="F612" s="6"/>
      <c r="G612" s="12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4" x14ac:dyDescent="0.55000000000000004">
      <c r="A613" s="6"/>
      <c r="B613" s="6"/>
      <c r="C613" s="6"/>
      <c r="D613" s="6"/>
      <c r="E613" s="126"/>
      <c r="F613" s="6"/>
      <c r="G613" s="12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4" x14ac:dyDescent="0.55000000000000004">
      <c r="A614" s="6"/>
      <c r="B614" s="6"/>
      <c r="C614" s="6"/>
      <c r="D614" s="6"/>
      <c r="E614" s="126"/>
      <c r="F614" s="6"/>
      <c r="G614" s="12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4" x14ac:dyDescent="0.55000000000000004">
      <c r="A615" s="6"/>
      <c r="B615" s="6"/>
      <c r="C615" s="6"/>
      <c r="D615" s="6"/>
      <c r="E615" s="126"/>
      <c r="F615" s="6"/>
      <c r="G615" s="12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4" x14ac:dyDescent="0.55000000000000004">
      <c r="A616" s="6"/>
      <c r="B616" s="6"/>
      <c r="C616" s="6"/>
      <c r="D616" s="6"/>
      <c r="E616" s="126"/>
      <c r="F616" s="6"/>
      <c r="G616" s="12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4" x14ac:dyDescent="0.55000000000000004">
      <c r="A617" s="6"/>
      <c r="B617" s="6"/>
      <c r="C617" s="6"/>
      <c r="D617" s="6"/>
      <c r="E617" s="126"/>
      <c r="F617" s="6"/>
      <c r="G617" s="12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4" x14ac:dyDescent="0.55000000000000004">
      <c r="A618" s="6"/>
      <c r="B618" s="6"/>
      <c r="C618" s="6"/>
      <c r="D618" s="6"/>
      <c r="E618" s="126"/>
      <c r="F618" s="6"/>
      <c r="G618" s="12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4" x14ac:dyDescent="0.55000000000000004">
      <c r="A619" s="6"/>
      <c r="B619" s="6"/>
      <c r="C619" s="6"/>
      <c r="D619" s="6"/>
      <c r="E619" s="126"/>
      <c r="F619" s="6"/>
      <c r="G619" s="12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4" x14ac:dyDescent="0.55000000000000004">
      <c r="A620" s="6"/>
      <c r="B620" s="6"/>
      <c r="C620" s="6"/>
      <c r="D620" s="6"/>
      <c r="E620" s="126"/>
      <c r="F620" s="6"/>
      <c r="G620" s="12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4" x14ac:dyDescent="0.55000000000000004">
      <c r="A621" s="6"/>
      <c r="B621" s="6"/>
      <c r="C621" s="6"/>
      <c r="D621" s="6"/>
      <c r="E621" s="126"/>
      <c r="F621" s="6"/>
      <c r="G621" s="12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4" x14ac:dyDescent="0.55000000000000004">
      <c r="A622" s="6"/>
      <c r="B622" s="6"/>
      <c r="C622" s="6"/>
      <c r="D622" s="6"/>
      <c r="E622" s="126"/>
      <c r="F622" s="6"/>
      <c r="G622" s="12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4" x14ac:dyDescent="0.55000000000000004">
      <c r="A623" s="6"/>
      <c r="B623" s="6"/>
      <c r="C623" s="6"/>
      <c r="D623" s="6"/>
      <c r="E623" s="126"/>
      <c r="F623" s="6"/>
      <c r="G623" s="12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4" x14ac:dyDescent="0.55000000000000004">
      <c r="A624" s="6"/>
      <c r="B624" s="6"/>
      <c r="C624" s="6"/>
      <c r="D624" s="6"/>
      <c r="E624" s="126"/>
      <c r="F624" s="6"/>
      <c r="G624" s="12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4" x14ac:dyDescent="0.55000000000000004">
      <c r="A625" s="6"/>
      <c r="B625" s="6"/>
      <c r="C625" s="6"/>
      <c r="D625" s="6"/>
      <c r="E625" s="126"/>
      <c r="F625" s="6"/>
      <c r="G625" s="12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4" x14ac:dyDescent="0.55000000000000004">
      <c r="A626" s="6"/>
      <c r="B626" s="6"/>
      <c r="C626" s="6"/>
      <c r="D626" s="6"/>
      <c r="E626" s="126"/>
      <c r="F626" s="6"/>
      <c r="G626" s="12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4" x14ac:dyDescent="0.55000000000000004">
      <c r="A627" s="6"/>
      <c r="B627" s="6"/>
      <c r="C627" s="6"/>
      <c r="D627" s="6"/>
      <c r="E627" s="126"/>
      <c r="F627" s="6"/>
      <c r="G627" s="12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4" x14ac:dyDescent="0.55000000000000004">
      <c r="A628" s="6"/>
      <c r="B628" s="6"/>
      <c r="C628" s="6"/>
      <c r="D628" s="6"/>
      <c r="E628" s="126"/>
      <c r="F628" s="6"/>
      <c r="G628" s="12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4" x14ac:dyDescent="0.55000000000000004">
      <c r="A629" s="6"/>
      <c r="B629" s="6"/>
      <c r="C629" s="6"/>
      <c r="D629" s="6"/>
      <c r="E629" s="126"/>
      <c r="F629" s="6"/>
      <c r="G629" s="12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4" x14ac:dyDescent="0.55000000000000004">
      <c r="A630" s="6"/>
      <c r="B630" s="6"/>
      <c r="C630" s="6"/>
      <c r="D630" s="6"/>
      <c r="E630" s="126"/>
      <c r="F630" s="6"/>
      <c r="G630" s="12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4" x14ac:dyDescent="0.55000000000000004">
      <c r="A631" s="6"/>
      <c r="B631" s="6"/>
      <c r="C631" s="6"/>
      <c r="D631" s="6"/>
      <c r="E631" s="126"/>
      <c r="F631" s="6"/>
      <c r="G631" s="12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4" x14ac:dyDescent="0.55000000000000004">
      <c r="A632" s="6"/>
      <c r="B632" s="6"/>
      <c r="C632" s="6"/>
      <c r="D632" s="6"/>
      <c r="E632" s="126"/>
      <c r="F632" s="6"/>
      <c r="G632" s="12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4" x14ac:dyDescent="0.55000000000000004">
      <c r="A633" s="6"/>
      <c r="B633" s="6"/>
      <c r="C633" s="6"/>
      <c r="D633" s="6"/>
      <c r="E633" s="126"/>
      <c r="F633" s="6"/>
      <c r="G633" s="12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4" x14ac:dyDescent="0.55000000000000004">
      <c r="A634" s="6"/>
      <c r="B634" s="6"/>
      <c r="C634" s="6"/>
      <c r="D634" s="6"/>
      <c r="E634" s="126"/>
      <c r="F634" s="6"/>
      <c r="G634" s="12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4" x14ac:dyDescent="0.55000000000000004">
      <c r="A635" s="6"/>
      <c r="B635" s="6"/>
      <c r="C635" s="6"/>
      <c r="D635" s="6"/>
      <c r="E635" s="126"/>
      <c r="F635" s="6"/>
      <c r="G635" s="12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4" x14ac:dyDescent="0.55000000000000004">
      <c r="A636" s="6"/>
      <c r="B636" s="6"/>
      <c r="C636" s="6"/>
      <c r="D636" s="6"/>
      <c r="E636" s="126"/>
      <c r="F636" s="6"/>
      <c r="G636" s="12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4" x14ac:dyDescent="0.55000000000000004">
      <c r="A637" s="6"/>
      <c r="B637" s="6"/>
      <c r="C637" s="6"/>
      <c r="D637" s="6"/>
      <c r="E637" s="126"/>
      <c r="F637" s="6"/>
      <c r="G637" s="12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4" x14ac:dyDescent="0.55000000000000004">
      <c r="A638" s="6"/>
      <c r="B638" s="6"/>
      <c r="C638" s="6"/>
      <c r="D638" s="6"/>
      <c r="E638" s="126"/>
      <c r="F638" s="6"/>
      <c r="G638" s="12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4" x14ac:dyDescent="0.55000000000000004">
      <c r="A639" s="6"/>
      <c r="B639" s="6"/>
      <c r="C639" s="6"/>
      <c r="D639" s="6"/>
      <c r="E639" s="126"/>
      <c r="F639" s="6"/>
      <c r="G639" s="12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4" x14ac:dyDescent="0.55000000000000004">
      <c r="A640" s="6"/>
      <c r="B640" s="6"/>
      <c r="C640" s="6"/>
      <c r="D640" s="6"/>
      <c r="E640" s="126"/>
      <c r="F640" s="6"/>
      <c r="G640" s="12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4" x14ac:dyDescent="0.55000000000000004">
      <c r="A641" s="6"/>
      <c r="B641" s="6"/>
      <c r="C641" s="6"/>
      <c r="D641" s="6"/>
      <c r="E641" s="126"/>
      <c r="F641" s="6"/>
      <c r="G641" s="12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4" x14ac:dyDescent="0.55000000000000004">
      <c r="A642" s="6"/>
      <c r="B642" s="6"/>
      <c r="C642" s="6"/>
      <c r="D642" s="6"/>
      <c r="E642" s="126"/>
      <c r="F642" s="6"/>
      <c r="G642" s="12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4" x14ac:dyDescent="0.55000000000000004">
      <c r="A643" s="6"/>
      <c r="B643" s="6"/>
      <c r="C643" s="6"/>
      <c r="D643" s="6"/>
      <c r="E643" s="126"/>
      <c r="F643" s="6"/>
      <c r="G643" s="12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4" x14ac:dyDescent="0.55000000000000004">
      <c r="A644" s="6"/>
      <c r="B644" s="6"/>
      <c r="C644" s="6"/>
      <c r="D644" s="6"/>
      <c r="E644" s="126"/>
      <c r="F644" s="6"/>
      <c r="G644" s="12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4" x14ac:dyDescent="0.55000000000000004">
      <c r="A645" s="6"/>
      <c r="B645" s="6"/>
      <c r="C645" s="6"/>
      <c r="D645" s="6"/>
      <c r="E645" s="126"/>
      <c r="F645" s="6"/>
      <c r="G645" s="12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4" x14ac:dyDescent="0.55000000000000004">
      <c r="A646" s="6"/>
      <c r="B646" s="6"/>
      <c r="C646" s="6"/>
      <c r="D646" s="6"/>
      <c r="E646" s="126"/>
      <c r="F646" s="6"/>
      <c r="G646" s="12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4" x14ac:dyDescent="0.55000000000000004">
      <c r="A647" s="6"/>
      <c r="B647" s="6"/>
      <c r="C647" s="6"/>
      <c r="D647" s="6"/>
      <c r="E647" s="126"/>
      <c r="F647" s="6"/>
      <c r="G647" s="12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4" x14ac:dyDescent="0.55000000000000004">
      <c r="A648" s="6"/>
      <c r="B648" s="6"/>
      <c r="C648" s="6"/>
      <c r="D648" s="6"/>
      <c r="E648" s="126"/>
      <c r="F648" s="6"/>
      <c r="G648" s="12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4" x14ac:dyDescent="0.55000000000000004">
      <c r="A649" s="6"/>
      <c r="B649" s="6"/>
      <c r="C649" s="6"/>
      <c r="D649" s="6"/>
      <c r="E649" s="126"/>
      <c r="F649" s="6"/>
      <c r="G649" s="12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4" x14ac:dyDescent="0.55000000000000004">
      <c r="A650" s="6"/>
      <c r="B650" s="6"/>
      <c r="C650" s="6"/>
      <c r="D650" s="6"/>
      <c r="E650" s="126"/>
      <c r="F650" s="6"/>
      <c r="G650" s="12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4" x14ac:dyDescent="0.55000000000000004">
      <c r="A651" s="6"/>
      <c r="B651" s="6"/>
      <c r="C651" s="6"/>
      <c r="D651" s="6"/>
      <c r="E651" s="126"/>
      <c r="F651" s="6"/>
      <c r="G651" s="12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4" x14ac:dyDescent="0.55000000000000004">
      <c r="A652" s="6"/>
      <c r="B652" s="6"/>
      <c r="C652" s="6"/>
      <c r="D652" s="6"/>
      <c r="E652" s="126"/>
      <c r="F652" s="6"/>
      <c r="G652" s="12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4" x14ac:dyDescent="0.55000000000000004">
      <c r="A653" s="6"/>
      <c r="B653" s="6"/>
      <c r="C653" s="6"/>
      <c r="D653" s="6"/>
      <c r="E653" s="126"/>
      <c r="F653" s="6"/>
      <c r="G653" s="12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4" x14ac:dyDescent="0.55000000000000004">
      <c r="A654" s="6"/>
      <c r="B654" s="6"/>
      <c r="C654" s="6"/>
      <c r="D654" s="6"/>
      <c r="E654" s="126"/>
      <c r="F654" s="6"/>
      <c r="G654" s="12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4" x14ac:dyDescent="0.55000000000000004">
      <c r="A655" s="6"/>
      <c r="B655" s="6"/>
      <c r="C655" s="6"/>
      <c r="D655" s="6"/>
      <c r="E655" s="126"/>
      <c r="F655" s="6"/>
      <c r="G655" s="12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4" x14ac:dyDescent="0.55000000000000004">
      <c r="A656" s="6"/>
      <c r="B656" s="6"/>
      <c r="C656" s="6"/>
      <c r="D656" s="6"/>
      <c r="E656" s="126"/>
      <c r="F656" s="6"/>
      <c r="G656" s="12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4" x14ac:dyDescent="0.55000000000000004">
      <c r="A657" s="6"/>
      <c r="B657" s="6"/>
      <c r="C657" s="6"/>
      <c r="D657" s="6"/>
      <c r="E657" s="126"/>
      <c r="F657" s="6"/>
      <c r="G657" s="12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4" x14ac:dyDescent="0.55000000000000004">
      <c r="A658" s="6"/>
      <c r="B658" s="6"/>
      <c r="C658" s="6"/>
      <c r="D658" s="6"/>
      <c r="E658" s="126"/>
      <c r="F658" s="6"/>
      <c r="G658" s="12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4" x14ac:dyDescent="0.55000000000000004">
      <c r="A659" s="6"/>
      <c r="B659" s="6"/>
      <c r="C659" s="6"/>
      <c r="D659" s="6"/>
      <c r="E659" s="126"/>
      <c r="F659" s="6"/>
      <c r="G659" s="12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4" x14ac:dyDescent="0.55000000000000004">
      <c r="A660" s="6"/>
      <c r="B660" s="6"/>
      <c r="C660" s="6"/>
      <c r="D660" s="6"/>
      <c r="E660" s="126"/>
      <c r="F660" s="6"/>
      <c r="G660" s="12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4" x14ac:dyDescent="0.55000000000000004">
      <c r="A661" s="6"/>
      <c r="B661" s="6"/>
      <c r="C661" s="6"/>
      <c r="D661" s="6"/>
      <c r="E661" s="126"/>
      <c r="F661" s="6"/>
      <c r="G661" s="12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4" x14ac:dyDescent="0.55000000000000004">
      <c r="A662" s="6"/>
      <c r="B662" s="6"/>
      <c r="C662" s="6"/>
      <c r="D662" s="6"/>
      <c r="E662" s="126"/>
      <c r="F662" s="6"/>
      <c r="G662" s="12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4" x14ac:dyDescent="0.55000000000000004">
      <c r="A663" s="6"/>
      <c r="B663" s="6"/>
      <c r="C663" s="6"/>
      <c r="D663" s="6"/>
      <c r="E663" s="126"/>
      <c r="F663" s="6"/>
      <c r="G663" s="12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4" x14ac:dyDescent="0.55000000000000004">
      <c r="A664" s="6"/>
      <c r="B664" s="6"/>
      <c r="C664" s="6"/>
      <c r="D664" s="6"/>
      <c r="E664" s="126"/>
      <c r="F664" s="6"/>
      <c r="G664" s="12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4" x14ac:dyDescent="0.55000000000000004">
      <c r="A665" s="6"/>
      <c r="B665" s="6"/>
      <c r="C665" s="6"/>
      <c r="D665" s="6"/>
      <c r="E665" s="126"/>
      <c r="F665" s="6"/>
      <c r="G665" s="12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4" x14ac:dyDescent="0.55000000000000004">
      <c r="A666" s="6"/>
      <c r="B666" s="6"/>
      <c r="C666" s="6"/>
      <c r="D666" s="6"/>
      <c r="E666" s="126"/>
      <c r="F666" s="6"/>
      <c r="G666" s="12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4" x14ac:dyDescent="0.55000000000000004">
      <c r="A667" s="6"/>
      <c r="B667" s="6"/>
      <c r="C667" s="6"/>
      <c r="D667" s="6"/>
      <c r="E667" s="126"/>
      <c r="F667" s="6"/>
      <c r="G667" s="12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4" x14ac:dyDescent="0.55000000000000004">
      <c r="A668" s="6"/>
      <c r="B668" s="6"/>
      <c r="C668" s="6"/>
      <c r="D668" s="6"/>
      <c r="E668" s="126"/>
      <c r="F668" s="6"/>
      <c r="G668" s="12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4" x14ac:dyDescent="0.55000000000000004">
      <c r="A669" s="6"/>
      <c r="B669" s="6"/>
      <c r="C669" s="6"/>
      <c r="D669" s="6"/>
      <c r="E669" s="126"/>
      <c r="F669" s="6"/>
      <c r="G669" s="12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4" x14ac:dyDescent="0.55000000000000004">
      <c r="A670" s="6"/>
      <c r="B670" s="6"/>
      <c r="C670" s="6"/>
      <c r="D670" s="6"/>
      <c r="E670" s="126"/>
      <c r="F670" s="6"/>
      <c r="G670" s="12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4" x14ac:dyDescent="0.55000000000000004">
      <c r="A671" s="6"/>
      <c r="B671" s="6"/>
      <c r="C671" s="6"/>
      <c r="D671" s="6"/>
      <c r="E671" s="126"/>
      <c r="F671" s="6"/>
      <c r="G671" s="12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4" x14ac:dyDescent="0.55000000000000004">
      <c r="A672" s="6"/>
      <c r="B672" s="6"/>
      <c r="C672" s="6"/>
      <c r="D672" s="6"/>
      <c r="E672" s="126"/>
      <c r="F672" s="6"/>
      <c r="G672" s="12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4" x14ac:dyDescent="0.55000000000000004">
      <c r="A673" s="6"/>
      <c r="B673" s="6"/>
      <c r="C673" s="6"/>
      <c r="D673" s="6"/>
      <c r="E673" s="126"/>
      <c r="F673" s="6"/>
      <c r="G673" s="12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4" x14ac:dyDescent="0.55000000000000004">
      <c r="A674" s="6"/>
      <c r="B674" s="6"/>
      <c r="C674" s="6"/>
      <c r="D674" s="6"/>
      <c r="E674" s="126"/>
      <c r="F674" s="6"/>
      <c r="G674" s="12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4" x14ac:dyDescent="0.55000000000000004">
      <c r="A675" s="6"/>
      <c r="B675" s="6"/>
      <c r="C675" s="6"/>
      <c r="D675" s="6"/>
      <c r="E675" s="126"/>
      <c r="F675" s="6"/>
      <c r="G675" s="12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4" x14ac:dyDescent="0.55000000000000004">
      <c r="A676" s="6"/>
      <c r="B676" s="6"/>
      <c r="C676" s="6"/>
      <c r="D676" s="6"/>
      <c r="E676" s="126"/>
      <c r="F676" s="6"/>
      <c r="G676" s="12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4" x14ac:dyDescent="0.55000000000000004">
      <c r="A677" s="6"/>
      <c r="B677" s="6"/>
      <c r="C677" s="6"/>
      <c r="D677" s="6"/>
      <c r="E677" s="126"/>
      <c r="F677" s="6"/>
      <c r="G677" s="12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4" x14ac:dyDescent="0.55000000000000004">
      <c r="A678" s="6"/>
      <c r="B678" s="6"/>
      <c r="C678" s="6"/>
      <c r="D678" s="6"/>
      <c r="E678" s="126"/>
      <c r="F678" s="6"/>
      <c r="G678" s="12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4" x14ac:dyDescent="0.55000000000000004">
      <c r="A679" s="6"/>
      <c r="B679" s="6"/>
      <c r="C679" s="6"/>
      <c r="D679" s="6"/>
      <c r="E679" s="126"/>
      <c r="F679" s="6"/>
      <c r="G679" s="12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4" x14ac:dyDescent="0.55000000000000004">
      <c r="A680" s="6"/>
      <c r="B680" s="6"/>
      <c r="C680" s="6"/>
      <c r="D680" s="6"/>
      <c r="E680" s="126"/>
      <c r="F680" s="6"/>
      <c r="G680" s="12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4" x14ac:dyDescent="0.55000000000000004">
      <c r="A681" s="6"/>
      <c r="B681" s="6"/>
      <c r="C681" s="6"/>
      <c r="D681" s="6"/>
      <c r="E681" s="126"/>
      <c r="F681" s="6"/>
      <c r="G681" s="12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4" x14ac:dyDescent="0.55000000000000004">
      <c r="A682" s="6"/>
      <c r="B682" s="6"/>
      <c r="C682" s="6"/>
      <c r="D682" s="6"/>
      <c r="E682" s="126"/>
      <c r="F682" s="6"/>
      <c r="G682" s="12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4" x14ac:dyDescent="0.55000000000000004">
      <c r="A683" s="6"/>
      <c r="B683" s="6"/>
      <c r="C683" s="6"/>
      <c r="D683" s="6"/>
      <c r="E683" s="126"/>
      <c r="F683" s="6"/>
      <c r="G683" s="12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4" x14ac:dyDescent="0.55000000000000004">
      <c r="A684" s="6"/>
      <c r="B684" s="6"/>
      <c r="C684" s="6"/>
      <c r="D684" s="6"/>
      <c r="E684" s="126"/>
      <c r="F684" s="6"/>
      <c r="G684" s="12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4" x14ac:dyDescent="0.55000000000000004">
      <c r="A685" s="6"/>
      <c r="B685" s="6"/>
      <c r="C685" s="6"/>
      <c r="D685" s="6"/>
      <c r="E685" s="126"/>
      <c r="F685" s="6"/>
      <c r="G685" s="12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4" x14ac:dyDescent="0.55000000000000004">
      <c r="A686" s="6"/>
      <c r="B686" s="6"/>
      <c r="C686" s="6"/>
      <c r="D686" s="6"/>
      <c r="E686" s="126"/>
      <c r="F686" s="6"/>
      <c r="G686" s="12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4" x14ac:dyDescent="0.55000000000000004">
      <c r="A687" s="6"/>
      <c r="B687" s="6"/>
      <c r="C687" s="6"/>
      <c r="D687" s="6"/>
      <c r="E687" s="126"/>
      <c r="F687" s="6"/>
      <c r="G687" s="12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4" x14ac:dyDescent="0.55000000000000004">
      <c r="A688" s="6"/>
      <c r="B688" s="6"/>
      <c r="C688" s="6"/>
      <c r="D688" s="6"/>
      <c r="E688" s="126"/>
      <c r="F688" s="6"/>
      <c r="G688" s="12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4" x14ac:dyDescent="0.55000000000000004">
      <c r="A689" s="6"/>
      <c r="B689" s="6"/>
      <c r="C689" s="6"/>
      <c r="D689" s="6"/>
      <c r="E689" s="126"/>
      <c r="F689" s="6"/>
      <c r="G689" s="12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4" x14ac:dyDescent="0.55000000000000004">
      <c r="A690" s="6"/>
      <c r="B690" s="6"/>
      <c r="C690" s="6"/>
      <c r="D690" s="6"/>
      <c r="E690" s="126"/>
      <c r="F690" s="6"/>
      <c r="G690" s="12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4" x14ac:dyDescent="0.55000000000000004">
      <c r="A691" s="6"/>
      <c r="B691" s="6"/>
      <c r="C691" s="6"/>
      <c r="D691" s="6"/>
      <c r="E691" s="126"/>
      <c r="F691" s="6"/>
      <c r="G691" s="12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4" x14ac:dyDescent="0.55000000000000004">
      <c r="A692" s="6"/>
      <c r="B692" s="6"/>
      <c r="C692" s="6"/>
      <c r="D692" s="6"/>
      <c r="E692" s="126"/>
      <c r="F692" s="6"/>
      <c r="G692" s="12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4" x14ac:dyDescent="0.55000000000000004">
      <c r="A693" s="6"/>
      <c r="B693" s="6"/>
      <c r="C693" s="6"/>
      <c r="D693" s="6"/>
      <c r="E693" s="126"/>
      <c r="F693" s="6"/>
      <c r="G693" s="12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4" x14ac:dyDescent="0.55000000000000004">
      <c r="A694" s="6"/>
      <c r="B694" s="6"/>
      <c r="C694" s="6"/>
      <c r="D694" s="6"/>
      <c r="E694" s="126"/>
      <c r="F694" s="6"/>
      <c r="G694" s="12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4" x14ac:dyDescent="0.55000000000000004">
      <c r="A695" s="6"/>
      <c r="B695" s="6"/>
      <c r="C695" s="6"/>
      <c r="D695" s="6"/>
      <c r="E695" s="126"/>
      <c r="F695" s="6"/>
      <c r="G695" s="12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4" x14ac:dyDescent="0.55000000000000004">
      <c r="A696" s="6"/>
      <c r="B696" s="6"/>
      <c r="C696" s="6"/>
      <c r="D696" s="6"/>
      <c r="E696" s="126"/>
      <c r="F696" s="6"/>
      <c r="G696" s="12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4" x14ac:dyDescent="0.55000000000000004">
      <c r="A697" s="6"/>
      <c r="B697" s="6"/>
      <c r="C697" s="6"/>
      <c r="D697" s="6"/>
      <c r="E697" s="126"/>
      <c r="F697" s="6"/>
      <c r="G697" s="12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4" x14ac:dyDescent="0.55000000000000004">
      <c r="A698" s="6"/>
      <c r="B698" s="6"/>
      <c r="C698" s="6"/>
      <c r="D698" s="6"/>
      <c r="E698" s="126"/>
      <c r="F698" s="6"/>
      <c r="G698" s="12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4" x14ac:dyDescent="0.55000000000000004">
      <c r="A699" s="6"/>
      <c r="B699" s="6"/>
      <c r="C699" s="6"/>
      <c r="D699" s="6"/>
      <c r="E699" s="126"/>
      <c r="F699" s="6"/>
      <c r="G699" s="12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4" x14ac:dyDescent="0.55000000000000004">
      <c r="A700" s="6"/>
      <c r="B700" s="6"/>
      <c r="C700" s="6"/>
      <c r="D700" s="6"/>
      <c r="E700" s="126"/>
      <c r="F700" s="6"/>
      <c r="G700" s="12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4" x14ac:dyDescent="0.55000000000000004">
      <c r="A701" s="6"/>
      <c r="B701" s="6"/>
      <c r="C701" s="6"/>
      <c r="D701" s="6"/>
      <c r="E701" s="126"/>
      <c r="F701" s="6"/>
      <c r="G701" s="12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4" x14ac:dyDescent="0.55000000000000004">
      <c r="A702" s="6"/>
      <c r="B702" s="6"/>
      <c r="C702" s="6"/>
      <c r="D702" s="6"/>
      <c r="E702" s="126"/>
      <c r="F702" s="6"/>
      <c r="G702" s="12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4" x14ac:dyDescent="0.55000000000000004">
      <c r="A703" s="6"/>
      <c r="B703" s="6"/>
      <c r="C703" s="6"/>
      <c r="D703" s="6"/>
      <c r="E703" s="126"/>
      <c r="F703" s="6"/>
      <c r="G703" s="12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4" x14ac:dyDescent="0.55000000000000004">
      <c r="A704" s="6"/>
      <c r="B704" s="6"/>
      <c r="C704" s="6"/>
      <c r="D704" s="6"/>
      <c r="E704" s="126"/>
      <c r="F704" s="6"/>
      <c r="G704" s="12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4" x14ac:dyDescent="0.55000000000000004">
      <c r="A705" s="6"/>
      <c r="B705" s="6"/>
      <c r="C705" s="6"/>
      <c r="D705" s="6"/>
      <c r="E705" s="126"/>
      <c r="F705" s="6"/>
      <c r="G705" s="12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4" x14ac:dyDescent="0.55000000000000004">
      <c r="A706" s="6"/>
      <c r="B706" s="6"/>
      <c r="C706" s="6"/>
      <c r="D706" s="6"/>
      <c r="E706" s="126"/>
      <c r="F706" s="6"/>
      <c r="G706" s="12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4" x14ac:dyDescent="0.55000000000000004">
      <c r="A707" s="6"/>
      <c r="B707" s="6"/>
      <c r="C707" s="6"/>
      <c r="D707" s="6"/>
      <c r="E707" s="126"/>
      <c r="F707" s="6"/>
      <c r="G707" s="12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4" x14ac:dyDescent="0.55000000000000004">
      <c r="A708" s="6"/>
      <c r="B708" s="6"/>
      <c r="C708" s="6"/>
      <c r="D708" s="6"/>
      <c r="E708" s="126"/>
      <c r="F708" s="6"/>
      <c r="G708" s="12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4" x14ac:dyDescent="0.55000000000000004">
      <c r="A709" s="6"/>
      <c r="B709" s="6"/>
      <c r="C709" s="6"/>
      <c r="D709" s="6"/>
      <c r="E709" s="126"/>
      <c r="F709" s="6"/>
      <c r="G709" s="12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4" x14ac:dyDescent="0.55000000000000004">
      <c r="A710" s="6"/>
      <c r="B710" s="6"/>
      <c r="C710" s="6"/>
      <c r="D710" s="6"/>
      <c r="E710" s="126"/>
      <c r="F710" s="6"/>
      <c r="G710" s="12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4" x14ac:dyDescent="0.55000000000000004">
      <c r="A711" s="6"/>
      <c r="B711" s="6"/>
      <c r="C711" s="6"/>
      <c r="D711" s="6"/>
      <c r="E711" s="126"/>
      <c r="F711" s="6"/>
      <c r="G711" s="12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4" x14ac:dyDescent="0.55000000000000004">
      <c r="A712" s="6"/>
      <c r="B712" s="6"/>
      <c r="C712" s="6"/>
      <c r="D712" s="6"/>
      <c r="E712" s="126"/>
      <c r="F712" s="6"/>
      <c r="G712" s="12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4" x14ac:dyDescent="0.55000000000000004">
      <c r="A713" s="6"/>
      <c r="B713" s="6"/>
      <c r="C713" s="6"/>
      <c r="D713" s="6"/>
      <c r="E713" s="126"/>
      <c r="F713" s="6"/>
      <c r="G713" s="12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4" x14ac:dyDescent="0.55000000000000004">
      <c r="A714" s="6"/>
      <c r="B714" s="6"/>
      <c r="C714" s="6"/>
      <c r="D714" s="6"/>
      <c r="E714" s="126"/>
      <c r="F714" s="6"/>
      <c r="G714" s="12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4" x14ac:dyDescent="0.55000000000000004">
      <c r="A715" s="6"/>
      <c r="B715" s="6"/>
      <c r="C715" s="6"/>
      <c r="D715" s="6"/>
      <c r="E715" s="126"/>
      <c r="F715" s="6"/>
      <c r="G715" s="12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4" x14ac:dyDescent="0.55000000000000004">
      <c r="A716" s="6"/>
      <c r="B716" s="6"/>
      <c r="C716" s="6"/>
      <c r="D716" s="6"/>
      <c r="E716" s="126"/>
      <c r="F716" s="6"/>
      <c r="G716" s="12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4" x14ac:dyDescent="0.55000000000000004">
      <c r="A717" s="6"/>
      <c r="B717" s="6"/>
      <c r="C717" s="6"/>
      <c r="D717" s="6"/>
      <c r="E717" s="126"/>
      <c r="F717" s="6"/>
      <c r="G717" s="12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4" x14ac:dyDescent="0.55000000000000004">
      <c r="A718" s="6"/>
      <c r="B718" s="6"/>
      <c r="C718" s="6"/>
      <c r="D718" s="6"/>
      <c r="E718" s="126"/>
      <c r="F718" s="6"/>
      <c r="G718" s="12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4" x14ac:dyDescent="0.55000000000000004">
      <c r="A719" s="6"/>
      <c r="B719" s="6"/>
      <c r="C719" s="6"/>
      <c r="D719" s="6"/>
      <c r="E719" s="126"/>
      <c r="F719" s="6"/>
      <c r="G719" s="12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4" x14ac:dyDescent="0.55000000000000004">
      <c r="A720" s="6"/>
      <c r="B720" s="6"/>
      <c r="C720" s="6"/>
      <c r="D720" s="6"/>
      <c r="E720" s="126"/>
      <c r="F720" s="6"/>
      <c r="G720" s="12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4" x14ac:dyDescent="0.55000000000000004">
      <c r="A721" s="6"/>
      <c r="B721" s="6"/>
      <c r="C721" s="6"/>
      <c r="D721" s="6"/>
      <c r="E721" s="126"/>
      <c r="F721" s="6"/>
      <c r="G721" s="12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4" x14ac:dyDescent="0.55000000000000004">
      <c r="A722" s="6"/>
      <c r="B722" s="6"/>
      <c r="C722" s="6"/>
      <c r="D722" s="6"/>
      <c r="E722" s="126"/>
      <c r="F722" s="6"/>
      <c r="G722" s="12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4" x14ac:dyDescent="0.55000000000000004">
      <c r="A723" s="6"/>
      <c r="B723" s="6"/>
      <c r="C723" s="6"/>
      <c r="D723" s="6"/>
      <c r="E723" s="126"/>
      <c r="F723" s="6"/>
      <c r="G723" s="12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4" x14ac:dyDescent="0.55000000000000004">
      <c r="A724" s="6"/>
      <c r="B724" s="6"/>
      <c r="C724" s="6"/>
      <c r="D724" s="6"/>
      <c r="E724" s="126"/>
      <c r="F724" s="6"/>
      <c r="G724" s="12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4" x14ac:dyDescent="0.55000000000000004">
      <c r="A725" s="6"/>
      <c r="B725" s="6"/>
      <c r="C725" s="6"/>
      <c r="D725" s="6"/>
      <c r="E725" s="126"/>
      <c r="F725" s="6"/>
      <c r="G725" s="12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4" x14ac:dyDescent="0.55000000000000004">
      <c r="A726" s="6"/>
      <c r="B726" s="6"/>
      <c r="C726" s="6"/>
      <c r="D726" s="6"/>
      <c r="E726" s="126"/>
      <c r="F726" s="6"/>
      <c r="G726" s="12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4" x14ac:dyDescent="0.55000000000000004">
      <c r="A727" s="6"/>
      <c r="B727" s="6"/>
      <c r="C727" s="6"/>
      <c r="D727" s="6"/>
      <c r="E727" s="126"/>
      <c r="F727" s="6"/>
      <c r="G727" s="12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4" x14ac:dyDescent="0.55000000000000004">
      <c r="A728" s="6"/>
      <c r="B728" s="6"/>
      <c r="C728" s="6"/>
      <c r="D728" s="6"/>
      <c r="E728" s="126"/>
      <c r="F728" s="6"/>
      <c r="G728" s="12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4" x14ac:dyDescent="0.55000000000000004">
      <c r="A729" s="6"/>
      <c r="B729" s="6"/>
      <c r="C729" s="6"/>
      <c r="D729" s="6"/>
      <c r="E729" s="126"/>
      <c r="F729" s="6"/>
      <c r="G729" s="12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4" x14ac:dyDescent="0.55000000000000004">
      <c r="A730" s="6"/>
      <c r="B730" s="6"/>
      <c r="C730" s="6"/>
      <c r="D730" s="6"/>
      <c r="E730" s="126"/>
      <c r="F730" s="6"/>
      <c r="G730" s="12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4" x14ac:dyDescent="0.55000000000000004">
      <c r="A731" s="6"/>
      <c r="B731" s="6"/>
      <c r="C731" s="6"/>
      <c r="D731" s="6"/>
      <c r="E731" s="126"/>
      <c r="F731" s="6"/>
      <c r="G731" s="12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4" x14ac:dyDescent="0.55000000000000004">
      <c r="A732" s="6"/>
      <c r="B732" s="6"/>
      <c r="C732" s="6"/>
      <c r="D732" s="6"/>
      <c r="E732" s="126"/>
      <c r="F732" s="6"/>
      <c r="G732" s="12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4" x14ac:dyDescent="0.55000000000000004">
      <c r="A733" s="6"/>
      <c r="B733" s="6"/>
      <c r="C733" s="6"/>
      <c r="D733" s="6"/>
      <c r="E733" s="126"/>
      <c r="F733" s="6"/>
      <c r="G733" s="12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4" x14ac:dyDescent="0.55000000000000004">
      <c r="A734" s="6"/>
      <c r="B734" s="6"/>
      <c r="C734" s="6"/>
      <c r="D734" s="6"/>
      <c r="E734" s="126"/>
      <c r="F734" s="6"/>
      <c r="G734" s="12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4" x14ac:dyDescent="0.55000000000000004">
      <c r="A735" s="6"/>
      <c r="B735" s="6"/>
      <c r="C735" s="6"/>
      <c r="D735" s="6"/>
      <c r="E735" s="126"/>
      <c r="F735" s="6"/>
      <c r="G735" s="12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4" x14ac:dyDescent="0.55000000000000004">
      <c r="A736" s="6"/>
      <c r="B736" s="6"/>
      <c r="C736" s="6"/>
      <c r="D736" s="6"/>
      <c r="E736" s="126"/>
      <c r="F736" s="6"/>
      <c r="G736" s="12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4" x14ac:dyDescent="0.55000000000000004">
      <c r="A737" s="6"/>
      <c r="B737" s="6"/>
      <c r="C737" s="6"/>
      <c r="D737" s="6"/>
      <c r="E737" s="126"/>
      <c r="F737" s="6"/>
      <c r="G737" s="12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4" x14ac:dyDescent="0.55000000000000004">
      <c r="A738" s="6"/>
      <c r="B738" s="6"/>
      <c r="C738" s="6"/>
      <c r="D738" s="6"/>
      <c r="E738" s="126"/>
      <c r="F738" s="6"/>
      <c r="G738" s="12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4" x14ac:dyDescent="0.55000000000000004">
      <c r="A739" s="6"/>
      <c r="B739" s="6"/>
      <c r="C739" s="6"/>
      <c r="D739" s="6"/>
      <c r="E739" s="126"/>
      <c r="F739" s="6"/>
      <c r="G739" s="12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4" x14ac:dyDescent="0.55000000000000004">
      <c r="A740" s="6"/>
      <c r="B740" s="6"/>
      <c r="C740" s="6"/>
      <c r="D740" s="6"/>
      <c r="E740" s="126"/>
      <c r="F740" s="6"/>
      <c r="G740" s="12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4" x14ac:dyDescent="0.55000000000000004">
      <c r="A741" s="6"/>
      <c r="B741" s="6"/>
      <c r="C741" s="6"/>
      <c r="D741" s="6"/>
      <c r="E741" s="126"/>
      <c r="F741" s="6"/>
      <c r="G741" s="12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4" x14ac:dyDescent="0.55000000000000004">
      <c r="A742" s="6"/>
      <c r="B742" s="6"/>
      <c r="C742" s="6"/>
      <c r="D742" s="6"/>
      <c r="E742" s="126"/>
      <c r="F742" s="6"/>
      <c r="G742" s="12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4" x14ac:dyDescent="0.55000000000000004">
      <c r="A743" s="6"/>
      <c r="B743" s="6"/>
      <c r="C743" s="6"/>
      <c r="D743" s="6"/>
      <c r="E743" s="126"/>
      <c r="F743" s="6"/>
      <c r="G743" s="12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4" x14ac:dyDescent="0.55000000000000004">
      <c r="A744" s="6"/>
      <c r="B744" s="6"/>
      <c r="C744" s="6"/>
      <c r="D744" s="6"/>
      <c r="E744" s="126"/>
      <c r="F744" s="6"/>
      <c r="G744" s="12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4" x14ac:dyDescent="0.55000000000000004">
      <c r="A745" s="6"/>
      <c r="B745" s="6"/>
      <c r="C745" s="6"/>
      <c r="D745" s="6"/>
      <c r="E745" s="126"/>
      <c r="F745" s="6"/>
      <c r="G745" s="12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4" x14ac:dyDescent="0.55000000000000004">
      <c r="A746" s="6"/>
      <c r="B746" s="6"/>
      <c r="C746" s="6"/>
      <c r="D746" s="6"/>
      <c r="E746" s="126"/>
      <c r="F746" s="6"/>
      <c r="G746" s="12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4" x14ac:dyDescent="0.55000000000000004">
      <c r="A747" s="6"/>
      <c r="B747" s="6"/>
      <c r="C747" s="6"/>
      <c r="D747" s="6"/>
      <c r="E747" s="126"/>
      <c r="F747" s="6"/>
      <c r="G747" s="12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4" x14ac:dyDescent="0.55000000000000004">
      <c r="A748" s="6"/>
      <c r="B748" s="6"/>
      <c r="C748" s="6"/>
      <c r="D748" s="6"/>
      <c r="E748" s="126"/>
      <c r="F748" s="6"/>
      <c r="G748" s="12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4" x14ac:dyDescent="0.55000000000000004">
      <c r="A749" s="6"/>
      <c r="B749" s="6"/>
      <c r="C749" s="6"/>
      <c r="D749" s="6"/>
      <c r="E749" s="126"/>
      <c r="F749" s="6"/>
      <c r="G749" s="12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4" x14ac:dyDescent="0.55000000000000004">
      <c r="A750" s="6"/>
      <c r="B750" s="6"/>
      <c r="C750" s="6"/>
      <c r="D750" s="6"/>
      <c r="E750" s="126"/>
      <c r="F750" s="6"/>
      <c r="G750" s="12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4" x14ac:dyDescent="0.55000000000000004">
      <c r="A751" s="6"/>
      <c r="B751" s="6"/>
      <c r="C751" s="6"/>
      <c r="D751" s="6"/>
      <c r="E751" s="126"/>
      <c r="F751" s="6"/>
      <c r="G751" s="12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4" x14ac:dyDescent="0.55000000000000004">
      <c r="A752" s="6"/>
      <c r="B752" s="6"/>
      <c r="C752" s="6"/>
      <c r="D752" s="6"/>
      <c r="E752" s="126"/>
      <c r="F752" s="6"/>
      <c r="G752" s="12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4" x14ac:dyDescent="0.55000000000000004">
      <c r="A753" s="6"/>
      <c r="B753" s="6"/>
      <c r="C753" s="6"/>
      <c r="D753" s="6"/>
      <c r="E753" s="126"/>
      <c r="F753" s="6"/>
      <c r="G753" s="12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4" x14ac:dyDescent="0.55000000000000004">
      <c r="A754" s="6"/>
      <c r="B754" s="6"/>
      <c r="C754" s="6"/>
      <c r="D754" s="6"/>
      <c r="E754" s="126"/>
      <c r="F754" s="6"/>
      <c r="G754" s="12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4" x14ac:dyDescent="0.55000000000000004">
      <c r="A755" s="6"/>
      <c r="B755" s="6"/>
      <c r="C755" s="6"/>
      <c r="D755" s="6"/>
      <c r="E755" s="126"/>
      <c r="F755" s="6"/>
      <c r="G755" s="12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4" x14ac:dyDescent="0.55000000000000004">
      <c r="A756" s="6"/>
      <c r="B756" s="6"/>
      <c r="C756" s="6"/>
      <c r="D756" s="6"/>
      <c r="E756" s="126"/>
      <c r="F756" s="6"/>
      <c r="G756" s="12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4" x14ac:dyDescent="0.55000000000000004">
      <c r="A757" s="6"/>
      <c r="B757" s="6"/>
      <c r="C757" s="6"/>
      <c r="D757" s="6"/>
      <c r="E757" s="126"/>
      <c r="F757" s="6"/>
      <c r="G757" s="12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4" x14ac:dyDescent="0.55000000000000004">
      <c r="A758" s="6"/>
      <c r="B758" s="6"/>
      <c r="C758" s="6"/>
      <c r="D758" s="6"/>
      <c r="E758" s="126"/>
      <c r="F758" s="6"/>
      <c r="G758" s="12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4" x14ac:dyDescent="0.55000000000000004">
      <c r="A759" s="6"/>
      <c r="B759" s="6"/>
      <c r="C759" s="6"/>
      <c r="D759" s="6"/>
      <c r="E759" s="126"/>
      <c r="F759" s="6"/>
      <c r="G759" s="12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4" x14ac:dyDescent="0.55000000000000004">
      <c r="A760" s="6"/>
      <c r="B760" s="6"/>
      <c r="C760" s="6"/>
      <c r="D760" s="6"/>
      <c r="E760" s="126"/>
      <c r="F760" s="6"/>
      <c r="G760" s="12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4" x14ac:dyDescent="0.55000000000000004">
      <c r="A761" s="6"/>
      <c r="B761" s="6"/>
      <c r="C761" s="6"/>
      <c r="D761" s="6"/>
      <c r="E761" s="126"/>
      <c r="F761" s="6"/>
      <c r="G761" s="12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4" x14ac:dyDescent="0.55000000000000004">
      <c r="A762" s="6"/>
      <c r="B762" s="6"/>
      <c r="C762" s="6"/>
      <c r="D762" s="6"/>
      <c r="E762" s="126"/>
      <c r="F762" s="6"/>
      <c r="G762" s="12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4" x14ac:dyDescent="0.55000000000000004">
      <c r="A763" s="6"/>
      <c r="B763" s="6"/>
      <c r="C763" s="6"/>
      <c r="D763" s="6"/>
      <c r="E763" s="126"/>
      <c r="F763" s="6"/>
      <c r="G763" s="12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4" x14ac:dyDescent="0.55000000000000004">
      <c r="A764" s="6"/>
      <c r="B764" s="6"/>
      <c r="C764" s="6"/>
      <c r="D764" s="6"/>
      <c r="E764" s="126"/>
      <c r="F764" s="6"/>
      <c r="G764" s="12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4" x14ac:dyDescent="0.55000000000000004">
      <c r="A765" s="6"/>
      <c r="B765" s="6"/>
      <c r="C765" s="6"/>
      <c r="D765" s="6"/>
      <c r="E765" s="126"/>
      <c r="F765" s="6"/>
      <c r="G765" s="12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4" x14ac:dyDescent="0.55000000000000004">
      <c r="A766" s="6"/>
      <c r="B766" s="6"/>
      <c r="C766" s="6"/>
      <c r="D766" s="6"/>
      <c r="E766" s="126"/>
      <c r="F766" s="6"/>
      <c r="G766" s="12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4" x14ac:dyDescent="0.55000000000000004">
      <c r="A767" s="6"/>
      <c r="B767" s="6"/>
      <c r="C767" s="6"/>
      <c r="D767" s="6"/>
      <c r="E767" s="126"/>
      <c r="F767" s="6"/>
      <c r="G767" s="12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4" x14ac:dyDescent="0.55000000000000004">
      <c r="A768" s="6"/>
      <c r="B768" s="6"/>
      <c r="C768" s="6"/>
      <c r="D768" s="6"/>
      <c r="E768" s="126"/>
      <c r="F768" s="6"/>
      <c r="G768" s="12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4" x14ac:dyDescent="0.55000000000000004">
      <c r="A769" s="6"/>
      <c r="B769" s="6"/>
      <c r="C769" s="6"/>
      <c r="D769" s="6"/>
      <c r="E769" s="126"/>
      <c r="F769" s="6"/>
      <c r="G769" s="12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4" x14ac:dyDescent="0.55000000000000004">
      <c r="A770" s="6"/>
      <c r="B770" s="6"/>
      <c r="C770" s="6"/>
      <c r="D770" s="6"/>
      <c r="E770" s="126"/>
      <c r="F770" s="6"/>
      <c r="G770" s="12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4" x14ac:dyDescent="0.55000000000000004">
      <c r="A771" s="6"/>
      <c r="B771" s="6"/>
      <c r="C771" s="6"/>
      <c r="D771" s="6"/>
      <c r="E771" s="126"/>
      <c r="F771" s="6"/>
      <c r="G771" s="12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4" x14ac:dyDescent="0.55000000000000004">
      <c r="A772" s="6"/>
      <c r="B772" s="6"/>
      <c r="C772" s="6"/>
      <c r="D772" s="6"/>
      <c r="E772" s="126"/>
      <c r="F772" s="6"/>
      <c r="G772" s="12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4" x14ac:dyDescent="0.55000000000000004">
      <c r="A773" s="6"/>
      <c r="B773" s="6"/>
      <c r="C773" s="6"/>
      <c r="D773" s="6"/>
      <c r="E773" s="126"/>
      <c r="F773" s="6"/>
      <c r="G773" s="12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4" x14ac:dyDescent="0.55000000000000004">
      <c r="A774" s="6"/>
      <c r="B774" s="6"/>
      <c r="C774" s="6"/>
      <c r="D774" s="6"/>
      <c r="E774" s="126"/>
      <c r="F774" s="6"/>
      <c r="G774" s="12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4" x14ac:dyDescent="0.55000000000000004">
      <c r="A775" s="6"/>
      <c r="B775" s="6"/>
      <c r="C775" s="6"/>
      <c r="D775" s="6"/>
      <c r="E775" s="126"/>
      <c r="F775" s="6"/>
      <c r="G775" s="12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4" x14ac:dyDescent="0.55000000000000004">
      <c r="A776" s="6"/>
      <c r="B776" s="6"/>
      <c r="C776" s="6"/>
      <c r="D776" s="6"/>
      <c r="E776" s="126"/>
      <c r="F776" s="6"/>
      <c r="G776" s="12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4" x14ac:dyDescent="0.55000000000000004">
      <c r="A777" s="6"/>
      <c r="B777" s="6"/>
      <c r="C777" s="6"/>
      <c r="D777" s="6"/>
      <c r="E777" s="126"/>
      <c r="F777" s="6"/>
      <c r="G777" s="12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4" x14ac:dyDescent="0.55000000000000004">
      <c r="A778" s="6"/>
      <c r="B778" s="6"/>
      <c r="C778" s="6"/>
      <c r="D778" s="6"/>
      <c r="E778" s="126"/>
      <c r="F778" s="6"/>
      <c r="G778" s="12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4" x14ac:dyDescent="0.55000000000000004">
      <c r="A779" s="6"/>
      <c r="B779" s="6"/>
      <c r="C779" s="6"/>
      <c r="D779" s="6"/>
      <c r="E779" s="126"/>
      <c r="F779" s="6"/>
      <c r="G779" s="12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4" x14ac:dyDescent="0.55000000000000004">
      <c r="A780" s="6"/>
      <c r="B780" s="6"/>
      <c r="C780" s="6"/>
      <c r="D780" s="6"/>
      <c r="E780" s="126"/>
      <c r="F780" s="6"/>
      <c r="G780" s="12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4" x14ac:dyDescent="0.55000000000000004">
      <c r="A781" s="6"/>
      <c r="B781" s="6"/>
      <c r="C781" s="6"/>
      <c r="D781" s="6"/>
      <c r="E781" s="126"/>
      <c r="F781" s="6"/>
      <c r="G781" s="12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4" x14ac:dyDescent="0.55000000000000004">
      <c r="A782" s="6"/>
      <c r="B782" s="6"/>
      <c r="C782" s="6"/>
      <c r="D782" s="6"/>
      <c r="E782" s="126"/>
      <c r="F782" s="6"/>
      <c r="G782" s="12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4" x14ac:dyDescent="0.55000000000000004">
      <c r="A783" s="6"/>
      <c r="B783" s="6"/>
      <c r="C783" s="6"/>
      <c r="D783" s="6"/>
      <c r="E783" s="126"/>
      <c r="F783" s="6"/>
      <c r="G783" s="12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4" x14ac:dyDescent="0.55000000000000004">
      <c r="A784" s="6"/>
      <c r="B784" s="6"/>
      <c r="C784" s="6"/>
      <c r="D784" s="6"/>
      <c r="E784" s="126"/>
      <c r="F784" s="6"/>
      <c r="G784" s="12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4" x14ac:dyDescent="0.55000000000000004">
      <c r="A785" s="6"/>
      <c r="B785" s="6"/>
      <c r="C785" s="6"/>
      <c r="D785" s="6"/>
      <c r="E785" s="126"/>
      <c r="F785" s="6"/>
      <c r="G785" s="12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4" x14ac:dyDescent="0.55000000000000004">
      <c r="A786" s="6"/>
      <c r="B786" s="6"/>
      <c r="C786" s="6"/>
      <c r="D786" s="6"/>
      <c r="E786" s="126"/>
      <c r="F786" s="6"/>
      <c r="G786" s="12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4" x14ac:dyDescent="0.55000000000000004">
      <c r="A787" s="6"/>
      <c r="B787" s="6"/>
      <c r="C787" s="6"/>
      <c r="D787" s="6"/>
      <c r="E787" s="126"/>
      <c r="F787" s="6"/>
      <c r="G787" s="12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4" x14ac:dyDescent="0.55000000000000004">
      <c r="A788" s="6"/>
      <c r="B788" s="6"/>
      <c r="C788" s="6"/>
      <c r="D788" s="6"/>
      <c r="E788" s="126"/>
      <c r="F788" s="6"/>
      <c r="G788" s="12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4" x14ac:dyDescent="0.55000000000000004">
      <c r="A789" s="6"/>
      <c r="B789" s="6"/>
      <c r="C789" s="6"/>
      <c r="D789" s="6"/>
      <c r="E789" s="126"/>
      <c r="F789" s="6"/>
      <c r="G789" s="12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4" x14ac:dyDescent="0.55000000000000004">
      <c r="A790" s="6"/>
      <c r="B790" s="6"/>
      <c r="C790" s="6"/>
      <c r="D790" s="6"/>
      <c r="E790" s="126"/>
      <c r="F790" s="6"/>
      <c r="G790" s="12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4" x14ac:dyDescent="0.55000000000000004">
      <c r="A791" s="6"/>
      <c r="B791" s="6"/>
      <c r="C791" s="6"/>
      <c r="D791" s="6"/>
      <c r="E791" s="126"/>
      <c r="F791" s="6"/>
      <c r="G791" s="12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4" x14ac:dyDescent="0.55000000000000004">
      <c r="A792" s="6"/>
      <c r="B792" s="6"/>
      <c r="C792" s="6"/>
      <c r="D792" s="6"/>
      <c r="E792" s="126"/>
      <c r="F792" s="6"/>
      <c r="G792" s="12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4" x14ac:dyDescent="0.55000000000000004">
      <c r="A793" s="6"/>
      <c r="B793" s="6"/>
      <c r="C793" s="6"/>
      <c r="D793" s="6"/>
      <c r="E793" s="126"/>
      <c r="F793" s="6"/>
      <c r="G793" s="12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4" x14ac:dyDescent="0.55000000000000004">
      <c r="A794" s="6"/>
      <c r="B794" s="6"/>
      <c r="C794" s="6"/>
      <c r="D794" s="6"/>
      <c r="E794" s="126"/>
      <c r="F794" s="6"/>
      <c r="G794" s="12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4" x14ac:dyDescent="0.55000000000000004">
      <c r="A795" s="6"/>
      <c r="B795" s="6"/>
      <c r="C795" s="6"/>
      <c r="D795" s="6"/>
      <c r="E795" s="126"/>
      <c r="F795" s="6"/>
      <c r="G795" s="12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4" x14ac:dyDescent="0.55000000000000004">
      <c r="A796" s="6"/>
      <c r="B796" s="6"/>
      <c r="C796" s="6"/>
      <c r="D796" s="6"/>
      <c r="E796" s="126"/>
      <c r="F796" s="6"/>
      <c r="G796" s="12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4" x14ac:dyDescent="0.55000000000000004">
      <c r="A797" s="6"/>
      <c r="B797" s="6"/>
      <c r="C797" s="6"/>
      <c r="D797" s="6"/>
      <c r="E797" s="126"/>
      <c r="F797" s="6"/>
      <c r="G797" s="12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4" x14ac:dyDescent="0.55000000000000004">
      <c r="A798" s="6"/>
      <c r="B798" s="6"/>
      <c r="C798" s="6"/>
      <c r="D798" s="6"/>
      <c r="E798" s="126"/>
      <c r="F798" s="6"/>
      <c r="G798" s="12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4" x14ac:dyDescent="0.55000000000000004">
      <c r="A799" s="6"/>
      <c r="B799" s="6"/>
      <c r="C799" s="6"/>
      <c r="D799" s="6"/>
      <c r="E799" s="126"/>
      <c r="F799" s="6"/>
      <c r="G799" s="12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4" x14ac:dyDescent="0.55000000000000004">
      <c r="A800" s="6"/>
      <c r="B800" s="6"/>
      <c r="C800" s="6"/>
      <c r="D800" s="6"/>
      <c r="E800" s="126"/>
      <c r="F800" s="6"/>
      <c r="G800" s="12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4" x14ac:dyDescent="0.55000000000000004">
      <c r="A801" s="6"/>
      <c r="B801" s="6"/>
      <c r="C801" s="6"/>
      <c r="D801" s="6"/>
      <c r="E801" s="126"/>
      <c r="F801" s="6"/>
      <c r="G801" s="12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4" x14ac:dyDescent="0.55000000000000004">
      <c r="A802" s="6"/>
      <c r="B802" s="6"/>
      <c r="C802" s="6"/>
      <c r="D802" s="6"/>
      <c r="E802" s="126"/>
      <c r="F802" s="6"/>
      <c r="G802" s="12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4" x14ac:dyDescent="0.55000000000000004">
      <c r="A803" s="6"/>
      <c r="B803" s="6"/>
      <c r="C803" s="6"/>
      <c r="D803" s="6"/>
      <c r="E803" s="126"/>
      <c r="F803" s="6"/>
      <c r="G803" s="12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4" x14ac:dyDescent="0.55000000000000004">
      <c r="A804" s="6"/>
      <c r="B804" s="6"/>
      <c r="C804" s="6"/>
      <c r="D804" s="6"/>
      <c r="E804" s="126"/>
      <c r="F804" s="6"/>
      <c r="G804" s="12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4" x14ac:dyDescent="0.55000000000000004">
      <c r="A805" s="6"/>
      <c r="B805" s="6"/>
      <c r="C805" s="6"/>
      <c r="D805" s="6"/>
      <c r="E805" s="126"/>
      <c r="F805" s="6"/>
      <c r="G805" s="12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4" x14ac:dyDescent="0.55000000000000004">
      <c r="A806" s="6"/>
      <c r="B806" s="6"/>
      <c r="C806" s="6"/>
      <c r="D806" s="6"/>
      <c r="E806" s="126"/>
      <c r="F806" s="6"/>
      <c r="G806" s="12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4" x14ac:dyDescent="0.55000000000000004">
      <c r="A807" s="6"/>
      <c r="B807" s="6"/>
      <c r="C807" s="6"/>
      <c r="D807" s="6"/>
      <c r="E807" s="126"/>
      <c r="F807" s="6"/>
      <c r="G807" s="12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4" x14ac:dyDescent="0.55000000000000004">
      <c r="A808" s="6"/>
      <c r="B808" s="6"/>
      <c r="C808" s="6"/>
      <c r="D808" s="6"/>
      <c r="E808" s="126"/>
      <c r="F808" s="6"/>
      <c r="G808" s="12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4" x14ac:dyDescent="0.55000000000000004">
      <c r="A809" s="6"/>
      <c r="B809" s="6"/>
      <c r="C809" s="6"/>
      <c r="D809" s="6"/>
      <c r="E809" s="126"/>
      <c r="F809" s="6"/>
      <c r="G809" s="12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4" x14ac:dyDescent="0.55000000000000004">
      <c r="A810" s="6"/>
      <c r="B810" s="6"/>
      <c r="C810" s="6"/>
      <c r="D810" s="6"/>
      <c r="E810" s="126"/>
      <c r="F810" s="6"/>
      <c r="G810" s="12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4" x14ac:dyDescent="0.55000000000000004">
      <c r="A811" s="6"/>
      <c r="B811" s="6"/>
      <c r="C811" s="6"/>
      <c r="D811" s="6"/>
      <c r="E811" s="126"/>
      <c r="F811" s="6"/>
      <c r="G811" s="12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4" x14ac:dyDescent="0.55000000000000004">
      <c r="A812" s="6"/>
      <c r="B812" s="6"/>
      <c r="C812" s="6"/>
      <c r="D812" s="6"/>
      <c r="E812" s="126"/>
      <c r="F812" s="6"/>
      <c r="G812" s="12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4" x14ac:dyDescent="0.55000000000000004">
      <c r="A813" s="6"/>
      <c r="B813" s="6"/>
      <c r="C813" s="6"/>
      <c r="D813" s="6"/>
      <c r="E813" s="126"/>
      <c r="F813" s="6"/>
      <c r="G813" s="12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4" x14ac:dyDescent="0.55000000000000004">
      <c r="A814" s="6"/>
      <c r="B814" s="6"/>
      <c r="C814" s="6"/>
      <c r="D814" s="6"/>
      <c r="E814" s="126"/>
      <c r="F814" s="6"/>
      <c r="G814" s="12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4" x14ac:dyDescent="0.55000000000000004">
      <c r="A815" s="6"/>
      <c r="B815" s="6"/>
      <c r="C815" s="6"/>
      <c r="D815" s="6"/>
      <c r="E815" s="126"/>
      <c r="F815" s="6"/>
      <c r="G815" s="12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4" x14ac:dyDescent="0.55000000000000004">
      <c r="A816" s="6"/>
      <c r="B816" s="6"/>
      <c r="C816" s="6"/>
      <c r="D816" s="6"/>
      <c r="E816" s="126"/>
      <c r="F816" s="6"/>
      <c r="G816" s="12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4" x14ac:dyDescent="0.55000000000000004">
      <c r="A817" s="6"/>
      <c r="B817" s="6"/>
      <c r="C817" s="6"/>
      <c r="D817" s="6"/>
      <c r="E817" s="126"/>
      <c r="F817" s="6"/>
      <c r="G817" s="12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4" x14ac:dyDescent="0.55000000000000004">
      <c r="A818" s="6"/>
      <c r="B818" s="6"/>
      <c r="C818" s="6"/>
      <c r="D818" s="6"/>
      <c r="E818" s="126"/>
      <c r="F818" s="6"/>
      <c r="G818" s="12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4" x14ac:dyDescent="0.55000000000000004">
      <c r="A819" s="6"/>
      <c r="B819" s="6"/>
      <c r="C819" s="6"/>
      <c r="D819" s="6"/>
      <c r="E819" s="126"/>
      <c r="F819" s="6"/>
      <c r="G819" s="12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4" x14ac:dyDescent="0.55000000000000004">
      <c r="A820" s="6"/>
      <c r="B820" s="6"/>
      <c r="C820" s="6"/>
      <c r="D820" s="6"/>
      <c r="E820" s="126"/>
      <c r="F820" s="6"/>
      <c r="G820" s="12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4" x14ac:dyDescent="0.55000000000000004">
      <c r="A821" s="6"/>
      <c r="B821" s="6"/>
      <c r="C821" s="6"/>
      <c r="D821" s="6"/>
      <c r="E821" s="126"/>
      <c r="F821" s="6"/>
      <c r="G821" s="12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4" x14ac:dyDescent="0.55000000000000004">
      <c r="A822" s="6"/>
      <c r="B822" s="6"/>
      <c r="C822" s="6"/>
      <c r="D822" s="6"/>
      <c r="E822" s="126"/>
      <c r="F822" s="6"/>
      <c r="G822" s="12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4" x14ac:dyDescent="0.55000000000000004">
      <c r="A823" s="6"/>
      <c r="B823" s="6"/>
      <c r="C823" s="6"/>
      <c r="D823" s="6"/>
      <c r="E823" s="126"/>
      <c r="F823" s="6"/>
      <c r="G823" s="12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4" x14ac:dyDescent="0.55000000000000004">
      <c r="A824" s="6"/>
      <c r="B824" s="6"/>
      <c r="C824" s="6"/>
      <c r="D824" s="6"/>
      <c r="E824" s="126"/>
      <c r="F824" s="6"/>
      <c r="G824" s="12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4" x14ac:dyDescent="0.55000000000000004">
      <c r="A825" s="6"/>
      <c r="B825" s="6"/>
      <c r="C825" s="6"/>
      <c r="D825" s="6"/>
      <c r="E825" s="126"/>
      <c r="F825" s="6"/>
      <c r="G825" s="12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4" x14ac:dyDescent="0.55000000000000004">
      <c r="A826" s="6"/>
      <c r="B826" s="6"/>
      <c r="C826" s="6"/>
      <c r="D826" s="6"/>
      <c r="E826" s="126"/>
      <c r="F826" s="6"/>
      <c r="G826" s="12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4" x14ac:dyDescent="0.55000000000000004">
      <c r="A827" s="6"/>
      <c r="B827" s="6"/>
      <c r="C827" s="6"/>
      <c r="D827" s="6"/>
      <c r="E827" s="126"/>
      <c r="F827" s="6"/>
      <c r="G827" s="12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4" x14ac:dyDescent="0.55000000000000004">
      <c r="A828" s="6"/>
      <c r="B828" s="6"/>
      <c r="C828" s="6"/>
      <c r="D828" s="6"/>
      <c r="E828" s="126"/>
      <c r="F828" s="6"/>
      <c r="G828" s="12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4" x14ac:dyDescent="0.55000000000000004">
      <c r="A829" s="6"/>
      <c r="B829" s="6"/>
      <c r="C829" s="6"/>
      <c r="D829" s="6"/>
      <c r="E829" s="126"/>
      <c r="F829" s="6"/>
      <c r="G829" s="12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4" x14ac:dyDescent="0.55000000000000004">
      <c r="A830" s="6"/>
      <c r="B830" s="6"/>
      <c r="C830" s="6"/>
      <c r="D830" s="6"/>
      <c r="E830" s="126"/>
      <c r="F830" s="6"/>
      <c r="G830" s="12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4" x14ac:dyDescent="0.55000000000000004">
      <c r="A831" s="6"/>
      <c r="B831" s="6"/>
      <c r="C831" s="6"/>
      <c r="D831" s="6"/>
      <c r="E831" s="126"/>
      <c r="F831" s="6"/>
      <c r="G831" s="12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4" x14ac:dyDescent="0.55000000000000004">
      <c r="A832" s="6"/>
      <c r="B832" s="6"/>
      <c r="C832" s="6"/>
      <c r="D832" s="6"/>
      <c r="E832" s="126"/>
      <c r="F832" s="6"/>
      <c r="G832" s="12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4" x14ac:dyDescent="0.55000000000000004">
      <c r="A833" s="6"/>
      <c r="B833" s="6"/>
      <c r="C833" s="6"/>
      <c r="D833" s="6"/>
      <c r="E833" s="126"/>
      <c r="F833" s="6"/>
      <c r="G833" s="12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4" x14ac:dyDescent="0.55000000000000004">
      <c r="A834" s="6"/>
      <c r="B834" s="6"/>
      <c r="C834" s="6"/>
      <c r="D834" s="6"/>
      <c r="E834" s="126"/>
      <c r="F834" s="6"/>
      <c r="G834" s="12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4" x14ac:dyDescent="0.55000000000000004">
      <c r="A835" s="6"/>
      <c r="B835" s="6"/>
      <c r="C835" s="6"/>
      <c r="D835" s="6"/>
      <c r="E835" s="126"/>
      <c r="F835" s="6"/>
      <c r="G835" s="12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4" x14ac:dyDescent="0.55000000000000004">
      <c r="A836" s="6"/>
      <c r="B836" s="6"/>
      <c r="C836" s="6"/>
      <c r="D836" s="6"/>
      <c r="E836" s="126"/>
      <c r="F836" s="6"/>
      <c r="G836" s="12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4" x14ac:dyDescent="0.55000000000000004">
      <c r="A837" s="6"/>
      <c r="B837" s="6"/>
      <c r="C837" s="6"/>
      <c r="D837" s="6"/>
      <c r="E837" s="126"/>
      <c r="F837" s="6"/>
      <c r="G837" s="12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4" x14ac:dyDescent="0.55000000000000004">
      <c r="A838" s="6"/>
      <c r="B838" s="6"/>
      <c r="C838" s="6"/>
      <c r="D838" s="6"/>
      <c r="E838" s="126"/>
      <c r="F838" s="6"/>
      <c r="G838" s="12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4" x14ac:dyDescent="0.55000000000000004">
      <c r="A839" s="6"/>
      <c r="B839" s="6"/>
      <c r="C839" s="6"/>
      <c r="D839" s="6"/>
      <c r="E839" s="126"/>
      <c r="F839" s="6"/>
      <c r="G839" s="12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4" x14ac:dyDescent="0.55000000000000004">
      <c r="A840" s="6"/>
      <c r="B840" s="6"/>
      <c r="C840" s="6"/>
      <c r="D840" s="6"/>
      <c r="E840" s="126"/>
      <c r="F840" s="6"/>
      <c r="G840" s="12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4" x14ac:dyDescent="0.55000000000000004">
      <c r="A841" s="6"/>
      <c r="B841" s="6"/>
      <c r="C841" s="6"/>
      <c r="D841" s="6"/>
      <c r="E841" s="126"/>
      <c r="F841" s="6"/>
      <c r="G841" s="12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4" x14ac:dyDescent="0.55000000000000004">
      <c r="A842" s="6"/>
      <c r="B842" s="6"/>
      <c r="C842" s="6"/>
      <c r="D842" s="6"/>
      <c r="E842" s="126"/>
      <c r="F842" s="6"/>
      <c r="G842" s="12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4" x14ac:dyDescent="0.55000000000000004">
      <c r="A843" s="6"/>
      <c r="B843" s="6"/>
      <c r="C843" s="6"/>
      <c r="D843" s="6"/>
      <c r="E843" s="126"/>
      <c r="F843" s="6"/>
      <c r="G843" s="12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4" x14ac:dyDescent="0.55000000000000004">
      <c r="A844" s="6"/>
      <c r="B844" s="6"/>
      <c r="C844" s="6"/>
      <c r="D844" s="6"/>
      <c r="E844" s="126"/>
      <c r="F844" s="6"/>
      <c r="G844" s="12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4" x14ac:dyDescent="0.55000000000000004">
      <c r="A845" s="6"/>
      <c r="B845" s="6"/>
      <c r="C845" s="6"/>
      <c r="D845" s="6"/>
      <c r="E845" s="126"/>
      <c r="F845" s="6"/>
      <c r="G845" s="12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4" x14ac:dyDescent="0.55000000000000004">
      <c r="A846" s="6"/>
      <c r="B846" s="6"/>
      <c r="C846" s="6"/>
      <c r="D846" s="6"/>
      <c r="E846" s="126"/>
      <c r="F846" s="6"/>
      <c r="G846" s="12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4" x14ac:dyDescent="0.55000000000000004">
      <c r="A847" s="6"/>
      <c r="B847" s="6"/>
      <c r="C847" s="6"/>
      <c r="D847" s="6"/>
      <c r="E847" s="126"/>
      <c r="F847" s="6"/>
      <c r="G847" s="12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4" x14ac:dyDescent="0.55000000000000004">
      <c r="A848" s="6"/>
      <c r="B848" s="6"/>
      <c r="C848" s="6"/>
      <c r="D848" s="6"/>
      <c r="E848" s="126"/>
      <c r="F848" s="6"/>
      <c r="G848" s="12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4" x14ac:dyDescent="0.55000000000000004">
      <c r="A849" s="6"/>
      <c r="B849" s="6"/>
      <c r="C849" s="6"/>
      <c r="D849" s="6"/>
      <c r="E849" s="126"/>
      <c r="F849" s="6"/>
      <c r="G849" s="12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4" x14ac:dyDescent="0.55000000000000004">
      <c r="A850" s="6"/>
      <c r="B850" s="6"/>
      <c r="C850" s="6"/>
      <c r="D850" s="6"/>
      <c r="E850" s="126"/>
      <c r="F850" s="6"/>
      <c r="G850" s="12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4" x14ac:dyDescent="0.55000000000000004">
      <c r="A851" s="6"/>
      <c r="B851" s="6"/>
      <c r="C851" s="6"/>
      <c r="D851" s="6"/>
      <c r="E851" s="126"/>
      <c r="F851" s="6"/>
      <c r="G851" s="12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4" x14ac:dyDescent="0.55000000000000004">
      <c r="A852" s="6"/>
      <c r="B852" s="6"/>
      <c r="C852" s="6"/>
      <c r="D852" s="6"/>
      <c r="E852" s="126"/>
      <c r="F852" s="6"/>
      <c r="G852" s="12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4" x14ac:dyDescent="0.55000000000000004">
      <c r="A853" s="6"/>
      <c r="B853" s="6"/>
      <c r="C853" s="6"/>
      <c r="D853" s="6"/>
      <c r="E853" s="126"/>
      <c r="F853" s="6"/>
      <c r="G853" s="12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4" x14ac:dyDescent="0.55000000000000004">
      <c r="A854" s="6"/>
      <c r="B854" s="6"/>
      <c r="C854" s="6"/>
      <c r="D854" s="6"/>
      <c r="E854" s="126"/>
      <c r="F854" s="6"/>
      <c r="G854" s="12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4" x14ac:dyDescent="0.55000000000000004">
      <c r="A855" s="6"/>
      <c r="B855" s="6"/>
      <c r="C855" s="6"/>
      <c r="D855" s="6"/>
      <c r="E855" s="126"/>
      <c r="F855" s="6"/>
      <c r="G855" s="12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4" x14ac:dyDescent="0.55000000000000004">
      <c r="A856" s="6"/>
      <c r="B856" s="6"/>
      <c r="C856" s="6"/>
      <c r="D856" s="6"/>
      <c r="E856" s="126"/>
      <c r="F856" s="6"/>
      <c r="G856" s="12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4" x14ac:dyDescent="0.55000000000000004">
      <c r="A857" s="6"/>
      <c r="B857" s="6"/>
      <c r="C857" s="6"/>
      <c r="D857" s="6"/>
      <c r="E857" s="126"/>
      <c r="F857" s="6"/>
      <c r="G857" s="12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4" x14ac:dyDescent="0.55000000000000004">
      <c r="A858" s="6"/>
      <c r="B858" s="6"/>
      <c r="C858" s="6"/>
      <c r="D858" s="6"/>
      <c r="E858" s="126"/>
      <c r="F858" s="6"/>
      <c r="G858" s="12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4" x14ac:dyDescent="0.55000000000000004">
      <c r="A859" s="6"/>
      <c r="B859" s="6"/>
      <c r="C859" s="6"/>
      <c r="D859" s="6"/>
      <c r="E859" s="126"/>
      <c r="F859" s="6"/>
      <c r="G859" s="12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4" x14ac:dyDescent="0.55000000000000004">
      <c r="A860" s="6"/>
      <c r="B860" s="6"/>
      <c r="C860" s="6"/>
      <c r="D860" s="6"/>
      <c r="E860" s="126"/>
      <c r="F860" s="6"/>
      <c r="G860" s="12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4" x14ac:dyDescent="0.55000000000000004">
      <c r="A861" s="6"/>
      <c r="B861" s="6"/>
      <c r="C861" s="6"/>
      <c r="D861" s="6"/>
      <c r="E861" s="126"/>
      <c r="F861" s="6"/>
      <c r="G861" s="12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4" x14ac:dyDescent="0.55000000000000004">
      <c r="A862" s="6"/>
      <c r="B862" s="6"/>
      <c r="C862" s="6"/>
      <c r="D862" s="6"/>
      <c r="E862" s="126"/>
      <c r="F862" s="6"/>
      <c r="G862" s="12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4" x14ac:dyDescent="0.55000000000000004">
      <c r="A863" s="6"/>
      <c r="B863" s="6"/>
      <c r="C863" s="6"/>
      <c r="D863" s="6"/>
      <c r="E863" s="126"/>
      <c r="F863" s="6"/>
      <c r="G863" s="12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4" x14ac:dyDescent="0.55000000000000004">
      <c r="A864" s="6"/>
      <c r="B864" s="6"/>
      <c r="C864" s="6"/>
      <c r="D864" s="6"/>
      <c r="E864" s="126"/>
      <c r="F864" s="6"/>
      <c r="G864" s="12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4" x14ac:dyDescent="0.55000000000000004">
      <c r="A865" s="6"/>
      <c r="B865" s="6"/>
      <c r="C865" s="6"/>
      <c r="D865" s="6"/>
      <c r="E865" s="126"/>
      <c r="F865" s="6"/>
      <c r="G865" s="12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4" x14ac:dyDescent="0.55000000000000004">
      <c r="A866" s="6"/>
      <c r="B866" s="6"/>
      <c r="C866" s="6"/>
      <c r="D866" s="6"/>
      <c r="E866" s="126"/>
      <c r="F866" s="6"/>
      <c r="G866" s="12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4" x14ac:dyDescent="0.55000000000000004">
      <c r="A867" s="6"/>
      <c r="B867" s="6"/>
      <c r="C867" s="6"/>
      <c r="D867" s="6"/>
      <c r="E867" s="126"/>
      <c r="F867" s="6"/>
      <c r="G867" s="12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4" x14ac:dyDescent="0.55000000000000004">
      <c r="A868" s="6"/>
      <c r="B868" s="6"/>
      <c r="C868" s="6"/>
      <c r="D868" s="6"/>
      <c r="E868" s="126"/>
      <c r="F868" s="6"/>
      <c r="G868" s="12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4" x14ac:dyDescent="0.55000000000000004">
      <c r="A869" s="6"/>
      <c r="B869" s="6"/>
      <c r="C869" s="6"/>
      <c r="D869" s="6"/>
      <c r="E869" s="126"/>
      <c r="F869" s="6"/>
      <c r="G869" s="12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4" x14ac:dyDescent="0.55000000000000004">
      <c r="A870" s="6"/>
      <c r="B870" s="6"/>
      <c r="C870" s="6"/>
      <c r="D870" s="6"/>
      <c r="E870" s="126"/>
      <c r="F870" s="6"/>
      <c r="G870" s="12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4" x14ac:dyDescent="0.55000000000000004">
      <c r="A871" s="6"/>
      <c r="B871" s="6"/>
      <c r="C871" s="6"/>
      <c r="D871" s="6"/>
      <c r="E871" s="126"/>
      <c r="F871" s="6"/>
      <c r="G871" s="12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4" x14ac:dyDescent="0.55000000000000004">
      <c r="A872" s="6"/>
      <c r="B872" s="6"/>
      <c r="C872" s="6"/>
      <c r="D872" s="6"/>
      <c r="E872" s="126"/>
      <c r="F872" s="6"/>
      <c r="G872" s="12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4" x14ac:dyDescent="0.55000000000000004">
      <c r="A873" s="6"/>
      <c r="B873" s="6"/>
      <c r="C873" s="6"/>
      <c r="D873" s="6"/>
      <c r="E873" s="126"/>
      <c r="F873" s="6"/>
      <c r="G873" s="12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4" x14ac:dyDescent="0.55000000000000004">
      <c r="A874" s="6"/>
      <c r="B874" s="6"/>
      <c r="C874" s="6"/>
      <c r="D874" s="6"/>
      <c r="E874" s="126"/>
      <c r="F874" s="6"/>
      <c r="G874" s="12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4" x14ac:dyDescent="0.55000000000000004">
      <c r="A875" s="6"/>
      <c r="B875" s="6"/>
      <c r="C875" s="6"/>
      <c r="D875" s="6"/>
      <c r="E875" s="126"/>
      <c r="F875" s="6"/>
      <c r="G875" s="12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4" x14ac:dyDescent="0.55000000000000004">
      <c r="A876" s="6"/>
      <c r="B876" s="6"/>
      <c r="C876" s="6"/>
      <c r="D876" s="6"/>
      <c r="E876" s="126"/>
      <c r="F876" s="6"/>
      <c r="G876" s="12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4" x14ac:dyDescent="0.55000000000000004">
      <c r="A877" s="6"/>
      <c r="B877" s="6"/>
      <c r="C877" s="6"/>
      <c r="D877" s="6"/>
      <c r="E877" s="126"/>
      <c r="F877" s="6"/>
      <c r="G877" s="12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4" x14ac:dyDescent="0.55000000000000004">
      <c r="A878" s="6"/>
      <c r="B878" s="6"/>
      <c r="C878" s="6"/>
      <c r="D878" s="6"/>
      <c r="E878" s="126"/>
      <c r="F878" s="6"/>
      <c r="G878" s="12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4" x14ac:dyDescent="0.55000000000000004">
      <c r="A879" s="6"/>
      <c r="B879" s="6"/>
      <c r="C879" s="6"/>
      <c r="D879" s="6"/>
      <c r="E879" s="126"/>
      <c r="F879" s="6"/>
      <c r="G879" s="12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4" x14ac:dyDescent="0.55000000000000004">
      <c r="A880" s="6"/>
      <c r="B880" s="6"/>
      <c r="C880" s="6"/>
      <c r="D880" s="6"/>
      <c r="E880" s="126"/>
      <c r="F880" s="6"/>
      <c r="G880" s="12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4" x14ac:dyDescent="0.55000000000000004">
      <c r="A881" s="6"/>
      <c r="B881" s="6"/>
      <c r="C881" s="6"/>
      <c r="D881" s="6"/>
      <c r="E881" s="126"/>
      <c r="F881" s="6"/>
      <c r="G881" s="12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4" x14ac:dyDescent="0.55000000000000004">
      <c r="A882" s="6"/>
      <c r="B882" s="6"/>
      <c r="C882" s="6"/>
      <c r="D882" s="6"/>
      <c r="E882" s="126"/>
      <c r="F882" s="6"/>
      <c r="G882" s="12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4" x14ac:dyDescent="0.55000000000000004">
      <c r="A883" s="6"/>
      <c r="B883" s="6"/>
      <c r="C883" s="6"/>
      <c r="D883" s="6"/>
      <c r="E883" s="126"/>
      <c r="F883" s="6"/>
      <c r="G883" s="12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4" x14ac:dyDescent="0.55000000000000004">
      <c r="A884" s="6"/>
      <c r="B884" s="6"/>
      <c r="C884" s="6"/>
      <c r="D884" s="6"/>
      <c r="E884" s="126"/>
      <c r="F884" s="6"/>
      <c r="G884" s="12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4" x14ac:dyDescent="0.55000000000000004">
      <c r="A885" s="6"/>
      <c r="B885" s="6"/>
      <c r="C885" s="6"/>
      <c r="D885" s="6"/>
      <c r="E885" s="126"/>
      <c r="F885" s="6"/>
      <c r="G885" s="12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4" x14ac:dyDescent="0.55000000000000004">
      <c r="A886" s="6"/>
      <c r="B886" s="6"/>
      <c r="C886" s="6"/>
      <c r="D886" s="6"/>
      <c r="E886" s="126"/>
      <c r="F886" s="6"/>
      <c r="G886" s="12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4" x14ac:dyDescent="0.55000000000000004">
      <c r="A887" s="6"/>
      <c r="B887" s="6"/>
      <c r="C887" s="6"/>
      <c r="D887" s="6"/>
      <c r="E887" s="126"/>
      <c r="F887" s="6"/>
      <c r="G887" s="12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4" x14ac:dyDescent="0.55000000000000004">
      <c r="A888" s="6"/>
      <c r="B888" s="6"/>
      <c r="C888" s="6"/>
      <c r="D888" s="6"/>
      <c r="E888" s="126"/>
      <c r="F888" s="6"/>
      <c r="G888" s="12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4" x14ac:dyDescent="0.55000000000000004">
      <c r="A889" s="6"/>
      <c r="B889" s="6"/>
      <c r="C889" s="6"/>
      <c r="D889" s="6"/>
      <c r="E889" s="126"/>
      <c r="F889" s="6"/>
      <c r="G889" s="12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4" x14ac:dyDescent="0.55000000000000004">
      <c r="A890" s="6"/>
      <c r="B890" s="6"/>
      <c r="C890" s="6"/>
      <c r="D890" s="6"/>
      <c r="E890" s="126"/>
      <c r="F890" s="6"/>
      <c r="G890" s="12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4" x14ac:dyDescent="0.55000000000000004">
      <c r="A891" s="6"/>
      <c r="B891" s="6"/>
      <c r="C891" s="6"/>
      <c r="D891" s="6"/>
      <c r="E891" s="126"/>
      <c r="F891" s="6"/>
      <c r="G891" s="12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4" x14ac:dyDescent="0.55000000000000004">
      <c r="A892" s="6"/>
      <c r="B892" s="6"/>
      <c r="C892" s="6"/>
      <c r="D892" s="6"/>
      <c r="E892" s="126"/>
      <c r="F892" s="6"/>
      <c r="G892" s="12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4" x14ac:dyDescent="0.55000000000000004">
      <c r="A893" s="6"/>
      <c r="B893" s="6"/>
      <c r="C893" s="6"/>
      <c r="D893" s="6"/>
      <c r="E893" s="126"/>
      <c r="F893" s="6"/>
      <c r="G893" s="12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4" x14ac:dyDescent="0.55000000000000004">
      <c r="A894" s="6"/>
      <c r="B894" s="6"/>
      <c r="C894" s="6"/>
      <c r="D894" s="6"/>
      <c r="E894" s="126"/>
      <c r="F894" s="6"/>
      <c r="G894" s="12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4" x14ac:dyDescent="0.55000000000000004">
      <c r="A895" s="6"/>
      <c r="B895" s="6"/>
      <c r="C895" s="6"/>
      <c r="D895" s="6"/>
      <c r="E895" s="126"/>
      <c r="F895" s="6"/>
      <c r="G895" s="12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4" x14ac:dyDescent="0.55000000000000004">
      <c r="A896" s="6"/>
      <c r="B896" s="6"/>
      <c r="C896" s="6"/>
      <c r="D896" s="6"/>
      <c r="E896" s="126"/>
      <c r="F896" s="6"/>
      <c r="G896" s="12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4" x14ac:dyDescent="0.55000000000000004">
      <c r="A897" s="6"/>
      <c r="B897" s="6"/>
      <c r="C897" s="6"/>
      <c r="D897" s="6"/>
      <c r="E897" s="126"/>
      <c r="F897" s="6"/>
      <c r="G897" s="12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4" x14ac:dyDescent="0.55000000000000004">
      <c r="A898" s="6"/>
      <c r="B898" s="6"/>
      <c r="C898" s="6"/>
      <c r="D898" s="6"/>
      <c r="E898" s="126"/>
      <c r="F898" s="6"/>
      <c r="G898" s="12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4" x14ac:dyDescent="0.55000000000000004">
      <c r="A899" s="6"/>
      <c r="B899" s="6"/>
      <c r="C899" s="6"/>
      <c r="D899" s="6"/>
      <c r="E899" s="126"/>
      <c r="F899" s="6"/>
      <c r="G899" s="12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4" x14ac:dyDescent="0.55000000000000004">
      <c r="A900" s="6"/>
      <c r="B900" s="6"/>
      <c r="C900" s="6"/>
      <c r="D900" s="6"/>
      <c r="E900" s="126"/>
      <c r="F900" s="6"/>
      <c r="G900" s="12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4" x14ac:dyDescent="0.55000000000000004">
      <c r="A901" s="6"/>
      <c r="B901" s="6"/>
      <c r="C901" s="6"/>
      <c r="D901" s="6"/>
      <c r="E901" s="126"/>
      <c r="F901" s="6"/>
      <c r="G901" s="12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4" x14ac:dyDescent="0.55000000000000004">
      <c r="A902" s="6"/>
      <c r="B902" s="6"/>
      <c r="C902" s="6"/>
      <c r="D902" s="6"/>
      <c r="E902" s="126"/>
      <c r="F902" s="6"/>
      <c r="G902" s="12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4" x14ac:dyDescent="0.55000000000000004">
      <c r="A903" s="6"/>
      <c r="B903" s="6"/>
      <c r="C903" s="6"/>
      <c r="D903" s="6"/>
      <c r="E903" s="126"/>
      <c r="F903" s="6"/>
      <c r="G903" s="12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4" x14ac:dyDescent="0.55000000000000004">
      <c r="A904" s="6"/>
      <c r="B904" s="6"/>
      <c r="C904" s="6"/>
      <c r="D904" s="6"/>
      <c r="E904" s="126"/>
      <c r="F904" s="6"/>
      <c r="G904" s="12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4" x14ac:dyDescent="0.55000000000000004">
      <c r="A905" s="6"/>
      <c r="B905" s="6"/>
      <c r="C905" s="6"/>
      <c r="D905" s="6"/>
      <c r="E905" s="126"/>
      <c r="F905" s="6"/>
      <c r="G905" s="12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4" x14ac:dyDescent="0.55000000000000004">
      <c r="A906" s="6"/>
      <c r="B906" s="6"/>
      <c r="C906" s="6"/>
      <c r="D906" s="6"/>
      <c r="E906" s="126"/>
      <c r="F906" s="6"/>
      <c r="G906" s="12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4" x14ac:dyDescent="0.55000000000000004">
      <c r="A907" s="6"/>
      <c r="B907" s="6"/>
      <c r="C907" s="6"/>
      <c r="D907" s="6"/>
      <c r="E907" s="126"/>
      <c r="F907" s="6"/>
      <c r="G907" s="12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4" x14ac:dyDescent="0.55000000000000004">
      <c r="A908" s="6"/>
      <c r="B908" s="6"/>
      <c r="C908" s="6"/>
      <c r="D908" s="6"/>
      <c r="E908" s="126"/>
      <c r="F908" s="6"/>
      <c r="G908" s="12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4" x14ac:dyDescent="0.55000000000000004">
      <c r="A909" s="6"/>
      <c r="B909" s="6"/>
      <c r="C909" s="6"/>
      <c r="D909" s="6"/>
      <c r="E909" s="126"/>
      <c r="F909" s="6"/>
      <c r="G909" s="12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4" x14ac:dyDescent="0.55000000000000004">
      <c r="A910" s="6"/>
      <c r="B910" s="6"/>
      <c r="C910" s="6"/>
      <c r="D910" s="6"/>
      <c r="E910" s="126"/>
      <c r="F910" s="6"/>
      <c r="G910" s="12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4" x14ac:dyDescent="0.55000000000000004">
      <c r="A911" s="6"/>
      <c r="B911" s="6"/>
      <c r="C911" s="6"/>
      <c r="D911" s="6"/>
      <c r="E911" s="126"/>
      <c r="F911" s="6"/>
      <c r="G911" s="12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4" x14ac:dyDescent="0.55000000000000004">
      <c r="A912" s="6"/>
      <c r="B912" s="6"/>
      <c r="C912" s="6"/>
      <c r="D912" s="6"/>
      <c r="E912" s="126"/>
      <c r="F912" s="6"/>
      <c r="G912" s="12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4" x14ac:dyDescent="0.55000000000000004">
      <c r="A913" s="6"/>
      <c r="B913" s="6"/>
      <c r="C913" s="6"/>
      <c r="D913" s="6"/>
      <c r="E913" s="126"/>
      <c r="F913" s="6"/>
      <c r="G913" s="12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4" x14ac:dyDescent="0.55000000000000004">
      <c r="A914" s="6"/>
      <c r="B914" s="6"/>
      <c r="C914" s="6"/>
      <c r="D914" s="6"/>
      <c r="E914" s="126"/>
      <c r="F914" s="6"/>
      <c r="G914" s="12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4" x14ac:dyDescent="0.55000000000000004">
      <c r="A915" s="6"/>
      <c r="B915" s="6"/>
      <c r="C915" s="6"/>
      <c r="D915" s="6"/>
      <c r="E915" s="126"/>
      <c r="F915" s="6"/>
      <c r="G915" s="12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4" x14ac:dyDescent="0.55000000000000004">
      <c r="A916" s="6"/>
      <c r="B916" s="6"/>
      <c r="C916" s="6"/>
      <c r="D916" s="6"/>
      <c r="E916" s="126"/>
      <c r="F916" s="6"/>
      <c r="G916" s="12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4" x14ac:dyDescent="0.55000000000000004">
      <c r="A917" s="6"/>
      <c r="B917" s="6"/>
      <c r="C917" s="6"/>
      <c r="D917" s="6"/>
      <c r="E917" s="126"/>
      <c r="F917" s="6"/>
      <c r="G917" s="12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4" x14ac:dyDescent="0.55000000000000004">
      <c r="A918" s="6"/>
      <c r="B918" s="6"/>
      <c r="C918" s="6"/>
      <c r="D918" s="6"/>
      <c r="E918" s="126"/>
      <c r="F918" s="6"/>
      <c r="G918" s="12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4" x14ac:dyDescent="0.55000000000000004">
      <c r="A919" s="6"/>
      <c r="B919" s="6"/>
      <c r="C919" s="6"/>
      <c r="D919" s="6"/>
      <c r="E919" s="126"/>
      <c r="F919" s="6"/>
      <c r="G919" s="12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4" x14ac:dyDescent="0.55000000000000004">
      <c r="A920" s="6"/>
      <c r="B920" s="6"/>
      <c r="C920" s="6"/>
      <c r="D920" s="6"/>
      <c r="E920" s="126"/>
      <c r="F920" s="6"/>
      <c r="G920" s="12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4" x14ac:dyDescent="0.55000000000000004">
      <c r="A921" s="6"/>
      <c r="B921" s="6"/>
      <c r="C921" s="6"/>
      <c r="D921" s="6"/>
      <c r="E921" s="126"/>
      <c r="F921" s="6"/>
      <c r="G921" s="12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4" x14ac:dyDescent="0.55000000000000004">
      <c r="A922" s="6"/>
      <c r="B922" s="6"/>
      <c r="C922" s="6"/>
      <c r="D922" s="6"/>
      <c r="E922" s="126"/>
      <c r="F922" s="6"/>
      <c r="G922" s="12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4" x14ac:dyDescent="0.55000000000000004">
      <c r="A923" s="6"/>
      <c r="B923" s="6"/>
      <c r="C923" s="6"/>
      <c r="D923" s="6"/>
      <c r="E923" s="126"/>
      <c r="F923" s="6"/>
      <c r="G923" s="12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4" x14ac:dyDescent="0.55000000000000004">
      <c r="A924" s="6"/>
      <c r="B924" s="6"/>
      <c r="C924" s="6"/>
      <c r="D924" s="6"/>
      <c r="E924" s="126"/>
      <c r="F924" s="6"/>
      <c r="G924" s="12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4" x14ac:dyDescent="0.55000000000000004">
      <c r="A925" s="6"/>
      <c r="B925" s="6"/>
      <c r="C925" s="6"/>
      <c r="D925" s="6"/>
      <c r="E925" s="126"/>
      <c r="F925" s="6"/>
      <c r="G925" s="12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4" x14ac:dyDescent="0.55000000000000004">
      <c r="A926" s="6"/>
      <c r="B926" s="6"/>
      <c r="C926" s="6"/>
      <c r="D926" s="6"/>
      <c r="E926" s="126"/>
      <c r="F926" s="6"/>
      <c r="G926" s="12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4" x14ac:dyDescent="0.55000000000000004">
      <c r="A927" s="6"/>
      <c r="B927" s="6"/>
      <c r="C927" s="6"/>
      <c r="D927" s="6"/>
      <c r="E927" s="126"/>
      <c r="F927" s="6"/>
      <c r="G927" s="12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4" x14ac:dyDescent="0.55000000000000004">
      <c r="A928" s="6"/>
      <c r="B928" s="6"/>
      <c r="C928" s="6"/>
      <c r="D928" s="6"/>
      <c r="E928" s="126"/>
      <c r="F928" s="6"/>
      <c r="G928" s="12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4" x14ac:dyDescent="0.55000000000000004">
      <c r="A929" s="6"/>
      <c r="B929" s="6"/>
      <c r="C929" s="6"/>
      <c r="D929" s="6"/>
      <c r="E929" s="126"/>
      <c r="F929" s="6"/>
      <c r="G929" s="12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4" x14ac:dyDescent="0.55000000000000004">
      <c r="A930" s="6"/>
      <c r="B930" s="6"/>
      <c r="C930" s="6"/>
      <c r="D930" s="6"/>
      <c r="E930" s="126"/>
      <c r="F930" s="6"/>
      <c r="G930" s="12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4" x14ac:dyDescent="0.55000000000000004">
      <c r="A931" s="6"/>
      <c r="B931" s="6"/>
      <c r="C931" s="6"/>
      <c r="D931" s="6"/>
      <c r="E931" s="126"/>
      <c r="F931" s="6"/>
      <c r="G931" s="12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4" x14ac:dyDescent="0.55000000000000004">
      <c r="A932" s="6"/>
      <c r="B932" s="6"/>
      <c r="C932" s="6"/>
      <c r="D932" s="6"/>
      <c r="E932" s="126"/>
      <c r="F932" s="6"/>
      <c r="G932" s="12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4" x14ac:dyDescent="0.55000000000000004">
      <c r="A933" s="6"/>
      <c r="B933" s="6"/>
      <c r="C933" s="6"/>
      <c r="D933" s="6"/>
      <c r="E933" s="126"/>
      <c r="F933" s="6"/>
      <c r="G933" s="12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4" x14ac:dyDescent="0.55000000000000004">
      <c r="A934" s="6"/>
      <c r="B934" s="6"/>
      <c r="C934" s="6"/>
      <c r="D934" s="6"/>
      <c r="E934" s="126"/>
      <c r="F934" s="6"/>
      <c r="G934" s="12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4" x14ac:dyDescent="0.55000000000000004">
      <c r="A935" s="6"/>
      <c r="B935" s="6"/>
      <c r="C935" s="6"/>
      <c r="D935" s="6"/>
      <c r="E935" s="126"/>
      <c r="F935" s="6"/>
      <c r="G935" s="12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4" x14ac:dyDescent="0.55000000000000004">
      <c r="A936" s="6"/>
      <c r="B936" s="6"/>
      <c r="C936" s="6"/>
      <c r="D936" s="6"/>
      <c r="E936" s="126"/>
      <c r="F936" s="6"/>
      <c r="G936" s="12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4" x14ac:dyDescent="0.55000000000000004">
      <c r="A937" s="6"/>
      <c r="B937" s="6"/>
      <c r="C937" s="6"/>
      <c r="D937" s="6"/>
      <c r="E937" s="126"/>
      <c r="F937" s="6"/>
      <c r="G937" s="12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4" x14ac:dyDescent="0.55000000000000004">
      <c r="A938" s="6"/>
      <c r="B938" s="6"/>
      <c r="C938" s="6"/>
      <c r="D938" s="6"/>
      <c r="E938" s="126"/>
      <c r="F938" s="6"/>
      <c r="G938" s="12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4" x14ac:dyDescent="0.55000000000000004">
      <c r="A939" s="6"/>
      <c r="B939" s="6"/>
      <c r="C939" s="6"/>
      <c r="D939" s="6"/>
      <c r="E939" s="126"/>
      <c r="F939" s="6"/>
      <c r="G939" s="12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4" x14ac:dyDescent="0.55000000000000004">
      <c r="A940" s="6"/>
      <c r="B940" s="6"/>
      <c r="C940" s="6"/>
      <c r="D940" s="6"/>
      <c r="E940" s="126"/>
      <c r="F940" s="6"/>
      <c r="G940" s="12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4" x14ac:dyDescent="0.55000000000000004">
      <c r="A941" s="6"/>
      <c r="B941" s="6"/>
      <c r="C941" s="6"/>
      <c r="D941" s="6"/>
      <c r="E941" s="126"/>
      <c r="F941" s="6"/>
      <c r="G941" s="12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4" x14ac:dyDescent="0.55000000000000004">
      <c r="A942" s="6"/>
      <c r="B942" s="6"/>
      <c r="C942" s="6"/>
      <c r="D942" s="6"/>
      <c r="E942" s="126"/>
      <c r="F942" s="6"/>
      <c r="G942" s="12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4" x14ac:dyDescent="0.55000000000000004">
      <c r="A943" s="6"/>
      <c r="B943" s="6"/>
      <c r="C943" s="6"/>
      <c r="D943" s="6"/>
      <c r="E943" s="126"/>
      <c r="F943" s="6"/>
      <c r="G943" s="12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4" x14ac:dyDescent="0.55000000000000004">
      <c r="A944" s="6"/>
      <c r="B944" s="6"/>
      <c r="C944" s="6"/>
      <c r="D944" s="6"/>
      <c r="E944" s="126"/>
      <c r="F944" s="6"/>
      <c r="G944" s="12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4" x14ac:dyDescent="0.55000000000000004">
      <c r="A945" s="6"/>
      <c r="B945" s="6"/>
      <c r="C945" s="6"/>
      <c r="D945" s="6"/>
      <c r="E945" s="126"/>
      <c r="F945" s="6"/>
      <c r="G945" s="12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4" x14ac:dyDescent="0.55000000000000004">
      <c r="A946" s="6"/>
      <c r="B946" s="6"/>
      <c r="C946" s="6"/>
      <c r="D946" s="6"/>
      <c r="E946" s="126"/>
      <c r="F946" s="6"/>
      <c r="G946" s="12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4" x14ac:dyDescent="0.55000000000000004">
      <c r="A947" s="6"/>
      <c r="B947" s="6"/>
      <c r="C947" s="6"/>
      <c r="D947" s="6"/>
      <c r="E947" s="126"/>
      <c r="F947" s="6"/>
      <c r="G947" s="12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4" x14ac:dyDescent="0.55000000000000004">
      <c r="A948" s="6"/>
      <c r="B948" s="6"/>
      <c r="C948" s="6"/>
      <c r="D948" s="6"/>
      <c r="E948" s="126"/>
      <c r="F948" s="6"/>
      <c r="G948" s="12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4" x14ac:dyDescent="0.55000000000000004">
      <c r="A949" s="6"/>
      <c r="B949" s="6"/>
      <c r="C949" s="6"/>
      <c r="D949" s="6"/>
      <c r="E949" s="126"/>
      <c r="F949" s="6"/>
      <c r="G949" s="12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4" x14ac:dyDescent="0.55000000000000004">
      <c r="A950" s="6"/>
      <c r="B950" s="6"/>
      <c r="C950" s="6"/>
      <c r="D950" s="6"/>
      <c r="E950" s="126"/>
      <c r="F950" s="6"/>
      <c r="G950" s="12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4" x14ac:dyDescent="0.55000000000000004">
      <c r="A951" s="6"/>
      <c r="B951" s="6"/>
      <c r="C951" s="6"/>
      <c r="D951" s="6"/>
      <c r="E951" s="126"/>
      <c r="F951" s="6"/>
      <c r="G951" s="12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4" x14ac:dyDescent="0.55000000000000004">
      <c r="A952" s="6"/>
      <c r="B952" s="6"/>
      <c r="C952" s="6"/>
      <c r="D952" s="6"/>
      <c r="E952" s="126"/>
      <c r="F952" s="6"/>
      <c r="G952" s="12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4" x14ac:dyDescent="0.55000000000000004">
      <c r="A953" s="6"/>
      <c r="B953" s="6"/>
      <c r="C953" s="6"/>
      <c r="D953" s="6"/>
      <c r="E953" s="126"/>
      <c r="F953" s="6"/>
      <c r="G953" s="12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4" x14ac:dyDescent="0.55000000000000004">
      <c r="A954" s="6"/>
      <c r="B954" s="6"/>
      <c r="C954" s="6"/>
      <c r="D954" s="6"/>
      <c r="E954" s="126"/>
      <c r="F954" s="6"/>
      <c r="G954" s="12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4" x14ac:dyDescent="0.55000000000000004">
      <c r="A955" s="6"/>
      <c r="B955" s="6"/>
      <c r="C955" s="6"/>
      <c r="D955" s="6"/>
      <c r="E955" s="126"/>
      <c r="F955" s="6"/>
      <c r="G955" s="12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4" x14ac:dyDescent="0.55000000000000004">
      <c r="A956" s="6"/>
      <c r="B956" s="6"/>
      <c r="C956" s="6"/>
      <c r="D956" s="6"/>
      <c r="E956" s="126"/>
      <c r="F956" s="6"/>
      <c r="G956" s="12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4" x14ac:dyDescent="0.55000000000000004">
      <c r="A957" s="6"/>
      <c r="B957" s="6"/>
      <c r="C957" s="6"/>
      <c r="D957" s="6"/>
      <c r="E957" s="126"/>
      <c r="F957" s="6"/>
      <c r="G957" s="12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4" x14ac:dyDescent="0.55000000000000004">
      <c r="A958" s="6"/>
      <c r="B958" s="6"/>
      <c r="C958" s="6"/>
      <c r="D958" s="6"/>
      <c r="E958" s="126"/>
      <c r="F958" s="6"/>
      <c r="G958" s="12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4" x14ac:dyDescent="0.55000000000000004">
      <c r="A959" s="6"/>
      <c r="B959" s="6"/>
      <c r="C959" s="6"/>
      <c r="D959" s="6"/>
      <c r="E959" s="126"/>
      <c r="F959" s="6"/>
      <c r="G959" s="12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4" x14ac:dyDescent="0.55000000000000004">
      <c r="A960" s="6"/>
      <c r="B960" s="6"/>
      <c r="C960" s="6"/>
      <c r="D960" s="6"/>
      <c r="E960" s="126"/>
      <c r="F960" s="6"/>
      <c r="G960" s="12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4" x14ac:dyDescent="0.55000000000000004">
      <c r="A961" s="6"/>
      <c r="B961" s="6"/>
      <c r="C961" s="6"/>
      <c r="D961" s="6"/>
      <c r="E961" s="126"/>
      <c r="F961" s="6"/>
      <c r="G961" s="12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4" x14ac:dyDescent="0.55000000000000004">
      <c r="A962" s="6"/>
      <c r="B962" s="6"/>
      <c r="C962" s="6"/>
      <c r="D962" s="6"/>
      <c r="E962" s="126"/>
      <c r="F962" s="6"/>
      <c r="G962" s="12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4" x14ac:dyDescent="0.55000000000000004">
      <c r="A963" s="6"/>
      <c r="B963" s="6"/>
      <c r="C963" s="6"/>
      <c r="D963" s="6"/>
      <c r="E963" s="126"/>
      <c r="F963" s="6"/>
      <c r="G963" s="12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4" x14ac:dyDescent="0.55000000000000004">
      <c r="A964" s="6"/>
      <c r="B964" s="6"/>
      <c r="C964" s="6"/>
      <c r="D964" s="6"/>
      <c r="E964" s="126"/>
      <c r="F964" s="6"/>
      <c r="G964" s="12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4" x14ac:dyDescent="0.55000000000000004">
      <c r="A965" s="6"/>
      <c r="B965" s="6"/>
      <c r="C965" s="6"/>
      <c r="D965" s="6"/>
      <c r="E965" s="126"/>
      <c r="F965" s="6"/>
      <c r="G965" s="12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4" x14ac:dyDescent="0.55000000000000004">
      <c r="A966" s="6"/>
      <c r="B966" s="6"/>
      <c r="C966" s="6"/>
      <c r="D966" s="6"/>
      <c r="E966" s="126"/>
      <c r="F966" s="6"/>
      <c r="G966" s="12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4" x14ac:dyDescent="0.55000000000000004">
      <c r="A967" s="6"/>
      <c r="B967" s="6"/>
      <c r="C967" s="6"/>
      <c r="D967" s="6"/>
      <c r="E967" s="126"/>
      <c r="F967" s="6"/>
      <c r="G967" s="12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4" x14ac:dyDescent="0.55000000000000004">
      <c r="A968" s="6"/>
      <c r="B968" s="6"/>
      <c r="C968" s="6"/>
      <c r="D968" s="6"/>
      <c r="E968" s="126"/>
      <c r="F968" s="6"/>
      <c r="G968" s="12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4" x14ac:dyDescent="0.55000000000000004">
      <c r="A969" s="6"/>
      <c r="B969" s="6"/>
      <c r="C969" s="6"/>
      <c r="D969" s="6"/>
      <c r="E969" s="126"/>
      <c r="F969" s="6"/>
      <c r="G969" s="12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4" x14ac:dyDescent="0.55000000000000004">
      <c r="A970" s="6"/>
      <c r="B970" s="6"/>
      <c r="C970" s="6"/>
      <c r="D970" s="6"/>
      <c r="E970" s="126"/>
      <c r="F970" s="6"/>
      <c r="G970" s="12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4" x14ac:dyDescent="0.55000000000000004">
      <c r="A971" s="6"/>
      <c r="B971" s="6"/>
      <c r="C971" s="6"/>
      <c r="D971" s="6"/>
      <c r="E971" s="126"/>
      <c r="F971" s="6"/>
      <c r="G971" s="12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4" x14ac:dyDescent="0.55000000000000004">
      <c r="A972" s="6"/>
      <c r="B972" s="6"/>
      <c r="C972" s="6"/>
      <c r="D972" s="6"/>
      <c r="E972" s="126"/>
      <c r="F972" s="6"/>
      <c r="G972" s="12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4" x14ac:dyDescent="0.55000000000000004">
      <c r="A973" s="6"/>
      <c r="B973" s="6"/>
      <c r="C973" s="6"/>
      <c r="D973" s="6"/>
      <c r="E973" s="126"/>
      <c r="F973" s="6"/>
      <c r="G973" s="12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4" x14ac:dyDescent="0.55000000000000004">
      <c r="A974" s="6"/>
      <c r="B974" s="6"/>
      <c r="C974" s="6"/>
      <c r="D974" s="6"/>
      <c r="E974" s="126"/>
      <c r="F974" s="6"/>
      <c r="G974" s="12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4" x14ac:dyDescent="0.55000000000000004">
      <c r="A975" s="6"/>
      <c r="B975" s="6"/>
      <c r="C975" s="6"/>
      <c r="D975" s="6"/>
      <c r="E975" s="126"/>
      <c r="F975" s="6"/>
      <c r="G975" s="12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4" x14ac:dyDescent="0.55000000000000004">
      <c r="A976" s="6"/>
      <c r="B976" s="6"/>
      <c r="C976" s="6"/>
      <c r="D976" s="6"/>
      <c r="E976" s="126"/>
      <c r="F976" s="6"/>
      <c r="G976" s="12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4" x14ac:dyDescent="0.55000000000000004">
      <c r="A977" s="6"/>
      <c r="B977" s="6"/>
      <c r="C977" s="6"/>
      <c r="D977" s="6"/>
      <c r="E977" s="126"/>
      <c r="F977" s="6"/>
      <c r="G977" s="12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4" x14ac:dyDescent="0.55000000000000004">
      <c r="A978" s="6"/>
      <c r="B978" s="6"/>
      <c r="C978" s="6"/>
      <c r="D978" s="6"/>
      <c r="E978" s="126"/>
      <c r="F978" s="6"/>
      <c r="G978" s="12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4" x14ac:dyDescent="0.55000000000000004">
      <c r="A979" s="6"/>
      <c r="B979" s="6"/>
      <c r="C979" s="6"/>
      <c r="D979" s="6"/>
      <c r="E979" s="126"/>
      <c r="F979" s="6"/>
      <c r="G979" s="12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4" x14ac:dyDescent="0.55000000000000004">
      <c r="A980" s="6"/>
      <c r="B980" s="6"/>
      <c r="C980" s="6"/>
      <c r="D980" s="6"/>
      <c r="E980" s="126"/>
      <c r="F980" s="6"/>
      <c r="G980" s="12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4" x14ac:dyDescent="0.55000000000000004">
      <c r="A981" s="6"/>
      <c r="B981" s="6"/>
      <c r="C981" s="6"/>
      <c r="D981" s="6"/>
      <c r="E981" s="126"/>
      <c r="F981" s="6"/>
      <c r="G981" s="12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4" x14ac:dyDescent="0.55000000000000004">
      <c r="A982" s="6"/>
      <c r="B982" s="6"/>
      <c r="C982" s="6"/>
      <c r="D982" s="6"/>
      <c r="E982" s="126"/>
      <c r="F982" s="6"/>
      <c r="G982" s="12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4" x14ac:dyDescent="0.55000000000000004">
      <c r="A983" s="6"/>
      <c r="B983" s="6"/>
      <c r="C983" s="6"/>
      <c r="D983" s="6"/>
      <c r="E983" s="126"/>
      <c r="F983" s="6"/>
      <c r="G983" s="12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4" x14ac:dyDescent="0.55000000000000004">
      <c r="A984" s="6"/>
      <c r="B984" s="6"/>
      <c r="C984" s="6"/>
      <c r="D984" s="6"/>
      <c r="E984" s="126"/>
      <c r="F984" s="6"/>
      <c r="G984" s="12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4" x14ac:dyDescent="0.55000000000000004">
      <c r="A985" s="6"/>
      <c r="B985" s="6"/>
      <c r="C985" s="6"/>
      <c r="D985" s="6"/>
      <c r="E985" s="126"/>
      <c r="F985" s="6"/>
      <c r="G985" s="12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4" x14ac:dyDescent="0.55000000000000004">
      <c r="A986" s="6"/>
      <c r="B986" s="6"/>
      <c r="C986" s="6"/>
      <c r="D986" s="6"/>
      <c r="E986" s="126"/>
      <c r="F986" s="6"/>
      <c r="G986" s="12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4" x14ac:dyDescent="0.55000000000000004">
      <c r="A987" s="6"/>
      <c r="B987" s="6"/>
      <c r="C987" s="6"/>
      <c r="D987" s="6"/>
      <c r="E987" s="126"/>
      <c r="F987" s="6"/>
      <c r="G987" s="12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4" x14ac:dyDescent="0.55000000000000004">
      <c r="A988" s="6"/>
      <c r="B988" s="6"/>
      <c r="C988" s="6"/>
      <c r="D988" s="6"/>
      <c r="E988" s="126"/>
      <c r="F988" s="6"/>
      <c r="G988" s="12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4" x14ac:dyDescent="0.55000000000000004">
      <c r="A989" s="6"/>
      <c r="B989" s="6"/>
      <c r="C989" s="6"/>
      <c r="D989" s="6"/>
      <c r="E989" s="126"/>
      <c r="F989" s="6"/>
      <c r="G989" s="12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4" x14ac:dyDescent="0.55000000000000004">
      <c r="A990" s="6"/>
      <c r="B990" s="6"/>
      <c r="C990" s="6"/>
      <c r="D990" s="6"/>
      <c r="E990" s="126"/>
      <c r="F990" s="6"/>
      <c r="G990" s="12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4" x14ac:dyDescent="0.55000000000000004">
      <c r="A991" s="6"/>
      <c r="B991" s="6"/>
      <c r="C991" s="6"/>
      <c r="D991" s="6"/>
      <c r="E991" s="126"/>
      <c r="F991" s="6"/>
      <c r="G991" s="12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4" x14ac:dyDescent="0.55000000000000004">
      <c r="A992" s="6"/>
      <c r="B992" s="6"/>
      <c r="C992" s="6"/>
      <c r="D992" s="6"/>
      <c r="E992" s="126"/>
      <c r="F992" s="6"/>
      <c r="G992" s="12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4" x14ac:dyDescent="0.55000000000000004">
      <c r="A993" s="6"/>
      <c r="B993" s="6"/>
      <c r="C993" s="6"/>
      <c r="D993" s="6"/>
      <c r="E993" s="126"/>
      <c r="F993" s="6"/>
      <c r="G993" s="12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4" x14ac:dyDescent="0.55000000000000004">
      <c r="A994" s="6"/>
      <c r="B994" s="6"/>
      <c r="C994" s="6"/>
      <c r="D994" s="6"/>
      <c r="E994" s="126"/>
      <c r="F994" s="6"/>
      <c r="G994" s="12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4" x14ac:dyDescent="0.55000000000000004">
      <c r="A995" s="6"/>
      <c r="B995" s="6"/>
      <c r="C995" s="6"/>
      <c r="D995" s="6"/>
      <c r="E995" s="126"/>
      <c r="F995" s="6"/>
      <c r="G995" s="12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4" x14ac:dyDescent="0.55000000000000004">
      <c r="A996" s="6"/>
      <c r="B996" s="6"/>
      <c r="C996" s="6"/>
      <c r="D996" s="6"/>
      <c r="E996" s="126"/>
      <c r="F996" s="6"/>
      <c r="G996" s="12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4" x14ac:dyDescent="0.55000000000000004">
      <c r="A997" s="6"/>
      <c r="B997" s="6"/>
      <c r="C997" s="6"/>
      <c r="D997" s="6"/>
      <c r="E997" s="126"/>
      <c r="F997" s="6"/>
      <c r="G997" s="12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4" x14ac:dyDescent="0.55000000000000004">
      <c r="A998" s="6"/>
      <c r="B998" s="6"/>
      <c r="C998" s="6"/>
      <c r="D998" s="6"/>
      <c r="E998" s="126"/>
      <c r="F998" s="6"/>
      <c r="G998" s="12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4" x14ac:dyDescent="0.55000000000000004">
      <c r="A999" s="6"/>
      <c r="B999" s="6"/>
      <c r="C999" s="6"/>
      <c r="D999" s="6"/>
      <c r="E999" s="126"/>
      <c r="F999" s="6"/>
      <c r="G999" s="12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4" x14ac:dyDescent="0.55000000000000004">
      <c r="A1000" s="6"/>
      <c r="B1000" s="6"/>
      <c r="C1000" s="6"/>
      <c r="D1000" s="6"/>
      <c r="E1000" s="126"/>
      <c r="F1000" s="6"/>
      <c r="G1000" s="12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4" x14ac:dyDescent="0.55000000000000004">
      <c r="A1001" s="6"/>
      <c r="B1001" s="6"/>
      <c r="C1001" s="6"/>
      <c r="D1001" s="6"/>
      <c r="E1001" s="126"/>
      <c r="F1001" s="6"/>
      <c r="G1001" s="12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4" x14ac:dyDescent="0.55000000000000004">
      <c r="A1002" s="6"/>
      <c r="B1002" s="6"/>
      <c r="C1002" s="6"/>
      <c r="D1002" s="6"/>
      <c r="E1002" s="126"/>
      <c r="F1002" s="6"/>
      <c r="G1002" s="12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4" x14ac:dyDescent="0.55000000000000004">
      <c r="A1003" s="6"/>
      <c r="B1003" s="6"/>
      <c r="C1003" s="6"/>
      <c r="D1003" s="6"/>
      <c r="E1003" s="126"/>
      <c r="F1003" s="6"/>
      <c r="G1003" s="12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4" x14ac:dyDescent="0.55000000000000004">
      <c r="A1004" s="6"/>
      <c r="B1004" s="6"/>
      <c r="C1004" s="6"/>
      <c r="D1004" s="6"/>
      <c r="E1004" s="126"/>
      <c r="F1004" s="6"/>
      <c r="G1004" s="12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4" x14ac:dyDescent="0.55000000000000004">
      <c r="A1005" s="6"/>
      <c r="B1005" s="6"/>
      <c r="C1005" s="6"/>
      <c r="D1005" s="6"/>
      <c r="E1005" s="126"/>
      <c r="F1005" s="6"/>
      <c r="G1005" s="12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4" x14ac:dyDescent="0.55000000000000004">
      <c r="A1006" s="6"/>
      <c r="B1006" s="6"/>
      <c r="C1006" s="6"/>
      <c r="D1006" s="6"/>
      <c r="E1006" s="126"/>
      <c r="F1006" s="6"/>
      <c r="G1006" s="12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4" x14ac:dyDescent="0.55000000000000004">
      <c r="A1007" s="6"/>
      <c r="B1007" s="6"/>
      <c r="C1007" s="6"/>
      <c r="D1007" s="6"/>
      <c r="E1007" s="126"/>
      <c r="F1007" s="6"/>
      <c r="G1007" s="12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4" x14ac:dyDescent="0.55000000000000004">
      <c r="A1008" s="6"/>
      <c r="B1008" s="6"/>
      <c r="C1008" s="6"/>
      <c r="D1008" s="6"/>
      <c r="E1008" s="126"/>
      <c r="F1008" s="6"/>
      <c r="G1008" s="12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4" x14ac:dyDescent="0.55000000000000004">
      <c r="A1009" s="6"/>
      <c r="B1009" s="6"/>
      <c r="C1009" s="6"/>
      <c r="D1009" s="6"/>
      <c r="E1009" s="126"/>
      <c r="F1009" s="6"/>
      <c r="G1009" s="12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4" x14ac:dyDescent="0.55000000000000004">
      <c r="A1010" s="6"/>
      <c r="B1010" s="6"/>
      <c r="C1010" s="6"/>
      <c r="D1010" s="6"/>
      <c r="E1010" s="126"/>
      <c r="F1010" s="6"/>
      <c r="G1010" s="12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4" x14ac:dyDescent="0.55000000000000004">
      <c r="A1011" s="6"/>
      <c r="B1011" s="6"/>
      <c r="C1011" s="6"/>
      <c r="D1011" s="6"/>
      <c r="E1011" s="126"/>
      <c r="F1011" s="6"/>
      <c r="G1011" s="12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4" x14ac:dyDescent="0.55000000000000004">
      <c r="A1012" s="6"/>
      <c r="B1012" s="6"/>
      <c r="C1012" s="6"/>
      <c r="D1012" s="6"/>
      <c r="E1012" s="126"/>
      <c r="F1012" s="6"/>
      <c r="G1012" s="12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4" x14ac:dyDescent="0.55000000000000004">
      <c r="A1013" s="6"/>
      <c r="B1013" s="6"/>
      <c r="C1013" s="6"/>
      <c r="D1013" s="6"/>
      <c r="E1013" s="126"/>
      <c r="F1013" s="6"/>
      <c r="G1013" s="12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4" x14ac:dyDescent="0.55000000000000004">
      <c r="A1014" s="6"/>
      <c r="B1014" s="6"/>
      <c r="C1014" s="6"/>
      <c r="D1014" s="6"/>
      <c r="E1014" s="126"/>
      <c r="F1014" s="6"/>
      <c r="G1014" s="12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4" x14ac:dyDescent="0.55000000000000004">
      <c r="A1015" s="6"/>
      <c r="B1015" s="6"/>
      <c r="C1015" s="6"/>
      <c r="D1015" s="6"/>
      <c r="E1015" s="126"/>
      <c r="F1015" s="6"/>
      <c r="G1015" s="12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4" x14ac:dyDescent="0.55000000000000004">
      <c r="A1016" s="6"/>
      <c r="B1016" s="6"/>
      <c r="C1016" s="6"/>
      <c r="D1016" s="6"/>
      <c r="E1016" s="126"/>
      <c r="F1016" s="6"/>
      <c r="G1016" s="12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4" x14ac:dyDescent="0.55000000000000004">
      <c r="A1017" s="6"/>
      <c r="B1017" s="6"/>
      <c r="C1017" s="6"/>
      <c r="D1017" s="6"/>
      <c r="E1017" s="126"/>
      <c r="F1017" s="6"/>
      <c r="G1017" s="12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4" x14ac:dyDescent="0.55000000000000004">
      <c r="A1018" s="6"/>
      <c r="B1018" s="6"/>
      <c r="C1018" s="6"/>
      <c r="D1018" s="6"/>
      <c r="E1018" s="126"/>
      <c r="F1018" s="6"/>
      <c r="G1018" s="12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4" x14ac:dyDescent="0.55000000000000004">
      <c r="A1019" s="6"/>
      <c r="B1019" s="6"/>
      <c r="C1019" s="6"/>
      <c r="D1019" s="6"/>
      <c r="E1019" s="126"/>
      <c r="F1019" s="6"/>
      <c r="G1019" s="12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4" x14ac:dyDescent="0.55000000000000004">
      <c r="A1020" s="6"/>
      <c r="B1020" s="6"/>
      <c r="C1020" s="6"/>
      <c r="D1020" s="6"/>
      <c r="E1020" s="126"/>
      <c r="F1020" s="6"/>
      <c r="G1020" s="12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4" x14ac:dyDescent="0.55000000000000004">
      <c r="A1021" s="6"/>
      <c r="B1021" s="6"/>
      <c r="C1021" s="6"/>
      <c r="D1021" s="6"/>
      <c r="E1021" s="126"/>
      <c r="F1021" s="6"/>
      <c r="G1021" s="12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4" x14ac:dyDescent="0.55000000000000004">
      <c r="A1022" s="6"/>
      <c r="B1022" s="6"/>
      <c r="C1022" s="6"/>
      <c r="D1022" s="6"/>
      <c r="E1022" s="126"/>
      <c r="F1022" s="6"/>
      <c r="G1022" s="12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4" x14ac:dyDescent="0.55000000000000004">
      <c r="A1023" s="6"/>
      <c r="B1023" s="6"/>
      <c r="C1023" s="6"/>
      <c r="D1023" s="6"/>
      <c r="E1023" s="126"/>
      <c r="F1023" s="6"/>
      <c r="G1023" s="12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5.4" x14ac:dyDescent="0.55000000000000004">
      <c r="A1024" s="6"/>
      <c r="B1024" s="6"/>
      <c r="C1024" s="6"/>
      <c r="D1024" s="6"/>
      <c r="E1024" s="126"/>
      <c r="F1024" s="6"/>
      <c r="G1024" s="12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5.4" x14ac:dyDescent="0.55000000000000004">
      <c r="A1025" s="6"/>
      <c r="B1025" s="6"/>
      <c r="C1025" s="6"/>
      <c r="D1025" s="6"/>
      <c r="E1025" s="126"/>
      <c r="F1025" s="6"/>
      <c r="G1025" s="12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5.4" x14ac:dyDescent="0.55000000000000004">
      <c r="A1026" s="6"/>
      <c r="B1026" s="6"/>
      <c r="C1026" s="6"/>
      <c r="D1026" s="6"/>
      <c r="E1026" s="126"/>
      <c r="F1026" s="6"/>
      <c r="G1026" s="12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5.4" x14ac:dyDescent="0.55000000000000004">
      <c r="A1027" s="6"/>
      <c r="B1027" s="6"/>
      <c r="C1027" s="6"/>
      <c r="D1027" s="6"/>
      <c r="E1027" s="126"/>
      <c r="F1027" s="6"/>
      <c r="G1027" s="12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5.4" x14ac:dyDescent="0.55000000000000004">
      <c r="A1028" s="6"/>
      <c r="B1028" s="6"/>
      <c r="C1028" s="6"/>
      <c r="D1028" s="6"/>
      <c r="E1028" s="126"/>
      <c r="F1028" s="6"/>
      <c r="G1028" s="12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5.4" x14ac:dyDescent="0.55000000000000004">
      <c r="A1029" s="6"/>
      <c r="B1029" s="6"/>
      <c r="C1029" s="6"/>
      <c r="D1029" s="6"/>
      <c r="E1029" s="126"/>
      <c r="F1029" s="6"/>
      <c r="G1029" s="12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5.4" x14ac:dyDescent="0.55000000000000004">
      <c r="A1030" s="6"/>
      <c r="B1030" s="6"/>
      <c r="C1030" s="6"/>
      <c r="D1030" s="6"/>
      <c r="E1030" s="126"/>
      <c r="F1030" s="6"/>
      <c r="G1030" s="12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5.4" x14ac:dyDescent="0.55000000000000004">
      <c r="A1031" s="6"/>
      <c r="B1031" s="6"/>
      <c r="C1031" s="6"/>
      <c r="D1031" s="6"/>
      <c r="E1031" s="126"/>
      <c r="F1031" s="6"/>
      <c r="G1031" s="12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5.4" x14ac:dyDescent="0.55000000000000004">
      <c r="A1032" s="6"/>
      <c r="B1032" s="6"/>
      <c r="C1032" s="6"/>
      <c r="D1032" s="6"/>
      <c r="E1032" s="126"/>
      <c r="F1032" s="6"/>
      <c r="G1032" s="12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5.4" x14ac:dyDescent="0.55000000000000004">
      <c r="A1033" s="6"/>
      <c r="B1033" s="6"/>
      <c r="C1033" s="6"/>
      <c r="D1033" s="6"/>
      <c r="E1033" s="126"/>
      <c r="F1033" s="6"/>
      <c r="G1033" s="12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5.4" x14ac:dyDescent="0.55000000000000004">
      <c r="A1034" s="6"/>
      <c r="B1034" s="6"/>
      <c r="C1034" s="6"/>
      <c r="D1034" s="6"/>
      <c r="E1034" s="126"/>
      <c r="F1034" s="6"/>
      <c r="G1034" s="12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5.4" x14ac:dyDescent="0.55000000000000004">
      <c r="A1035" s="6"/>
      <c r="B1035" s="6"/>
      <c r="C1035" s="6"/>
      <c r="D1035" s="6"/>
      <c r="E1035" s="126"/>
      <c r="F1035" s="6"/>
      <c r="G1035" s="12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5.4" x14ac:dyDescent="0.55000000000000004">
      <c r="A1036" s="6"/>
      <c r="B1036" s="6"/>
      <c r="C1036" s="6"/>
      <c r="D1036" s="6"/>
      <c r="E1036" s="126"/>
      <c r="F1036" s="6"/>
      <c r="G1036" s="12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5.4" x14ac:dyDescent="0.55000000000000004">
      <c r="A1037" s="6"/>
      <c r="B1037" s="6"/>
      <c r="C1037" s="6"/>
      <c r="D1037" s="6"/>
      <c r="E1037" s="126"/>
      <c r="F1037" s="6"/>
      <c r="G1037" s="12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5.4" x14ac:dyDescent="0.55000000000000004">
      <c r="A1038" s="6"/>
      <c r="B1038" s="6"/>
      <c r="C1038" s="6"/>
      <c r="D1038" s="6"/>
      <c r="E1038" s="126"/>
      <c r="F1038" s="6"/>
      <c r="G1038" s="12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5.4" x14ac:dyDescent="0.55000000000000004">
      <c r="A1039" s="6"/>
      <c r="B1039" s="6"/>
      <c r="C1039" s="6"/>
      <c r="D1039" s="6"/>
      <c r="E1039" s="126"/>
      <c r="F1039" s="6"/>
      <c r="G1039" s="12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5.4" x14ac:dyDescent="0.55000000000000004">
      <c r="A1040" s="6"/>
      <c r="B1040" s="6"/>
      <c r="C1040" s="6"/>
      <c r="D1040" s="6"/>
      <c r="E1040" s="126"/>
      <c r="F1040" s="6"/>
      <c r="G1040" s="12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5.4" x14ac:dyDescent="0.55000000000000004">
      <c r="A1041" s="6"/>
      <c r="B1041" s="6"/>
      <c r="C1041" s="6"/>
      <c r="D1041" s="6"/>
      <c r="E1041" s="126"/>
      <c r="F1041" s="6"/>
      <c r="G1041" s="12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5.4" x14ac:dyDescent="0.55000000000000004">
      <c r="A1042" s="6"/>
      <c r="B1042" s="6"/>
      <c r="C1042" s="6"/>
      <c r="D1042" s="6"/>
      <c r="E1042" s="126"/>
      <c r="F1042" s="6"/>
      <c r="G1042" s="12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5.4" x14ac:dyDescent="0.55000000000000004">
      <c r="A1043" s="6"/>
      <c r="B1043" s="6"/>
      <c r="C1043" s="6"/>
      <c r="D1043" s="6"/>
      <c r="E1043" s="126"/>
      <c r="F1043" s="6"/>
      <c r="G1043" s="12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5.4" x14ac:dyDescent="0.55000000000000004">
      <c r="A1044" s="6"/>
      <c r="B1044" s="6"/>
      <c r="C1044" s="6"/>
      <c r="D1044" s="6"/>
      <c r="E1044" s="126"/>
      <c r="F1044" s="6"/>
      <c r="G1044" s="12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5.4" x14ac:dyDescent="0.55000000000000004">
      <c r="A1045" s="6"/>
      <c r="B1045" s="6"/>
      <c r="C1045" s="6"/>
      <c r="D1045" s="6"/>
      <c r="E1045" s="126"/>
      <c r="F1045" s="6"/>
      <c r="G1045" s="12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5.4" x14ac:dyDescent="0.55000000000000004">
      <c r="A1046" s="6"/>
      <c r="B1046" s="6"/>
      <c r="C1046" s="6"/>
      <c r="D1046" s="6"/>
      <c r="E1046" s="126"/>
      <c r="F1046" s="6"/>
      <c r="G1046" s="12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5.4" x14ac:dyDescent="0.55000000000000004">
      <c r="A1047" s="6"/>
      <c r="B1047" s="6"/>
      <c r="C1047" s="6"/>
      <c r="D1047" s="6"/>
      <c r="E1047" s="126"/>
      <c r="F1047" s="6"/>
      <c r="G1047" s="12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5.4" x14ac:dyDescent="0.55000000000000004">
      <c r="A1048" s="6"/>
      <c r="B1048" s="6"/>
      <c r="C1048" s="6"/>
      <c r="D1048" s="6"/>
      <c r="E1048" s="126"/>
      <c r="F1048" s="6"/>
      <c r="G1048" s="12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5.4" x14ac:dyDescent="0.55000000000000004">
      <c r="A1049" s="6"/>
      <c r="B1049" s="6"/>
      <c r="C1049" s="6"/>
      <c r="D1049" s="6"/>
      <c r="E1049" s="126"/>
      <c r="F1049" s="6"/>
      <c r="G1049" s="12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5.4" x14ac:dyDescent="0.55000000000000004">
      <c r="A1050" s="6"/>
      <c r="B1050" s="6"/>
      <c r="C1050" s="6"/>
      <c r="D1050" s="6"/>
      <c r="E1050" s="126"/>
      <c r="F1050" s="6"/>
      <c r="G1050" s="12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5.4" x14ac:dyDescent="0.55000000000000004">
      <c r="A1051" s="6"/>
      <c r="B1051" s="6"/>
      <c r="C1051" s="6"/>
      <c r="D1051" s="6"/>
      <c r="E1051" s="126"/>
      <c r="F1051" s="6"/>
      <c r="G1051" s="12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5.4" x14ac:dyDescent="0.55000000000000004">
      <c r="A1052" s="6"/>
      <c r="B1052" s="6"/>
      <c r="C1052" s="6"/>
      <c r="D1052" s="6"/>
      <c r="E1052" s="126"/>
      <c r="F1052" s="6"/>
      <c r="G1052" s="12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5.4" x14ac:dyDescent="0.55000000000000004">
      <c r="A1053" s="6"/>
      <c r="B1053" s="6"/>
      <c r="C1053" s="6"/>
      <c r="D1053" s="6"/>
      <c r="E1053" s="126"/>
      <c r="F1053" s="6"/>
      <c r="G1053" s="12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5.4" x14ac:dyDescent="0.55000000000000004">
      <c r="A1054" s="6"/>
      <c r="B1054" s="6"/>
      <c r="C1054" s="6"/>
      <c r="D1054" s="6"/>
      <c r="E1054" s="126"/>
      <c r="F1054" s="6"/>
      <c r="G1054" s="12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5.4" x14ac:dyDescent="0.55000000000000004">
      <c r="A1055" s="6"/>
      <c r="B1055" s="6"/>
      <c r="C1055" s="6"/>
      <c r="D1055" s="6"/>
      <c r="E1055" s="126"/>
      <c r="F1055" s="6"/>
      <c r="G1055" s="12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5.4" x14ac:dyDescent="0.55000000000000004">
      <c r="A1056" s="6"/>
      <c r="B1056" s="6"/>
      <c r="C1056" s="6"/>
      <c r="D1056" s="6"/>
      <c r="E1056" s="126"/>
      <c r="F1056" s="6"/>
      <c r="G1056" s="12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5.4" x14ac:dyDescent="0.55000000000000004">
      <c r="A1057" s="6"/>
      <c r="B1057" s="6"/>
      <c r="C1057" s="6"/>
      <c r="D1057" s="6"/>
      <c r="E1057" s="126"/>
      <c r="F1057" s="6"/>
      <c r="G1057" s="12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5.4" x14ac:dyDescent="0.55000000000000004">
      <c r="A1058" s="6"/>
      <c r="B1058" s="6"/>
      <c r="C1058" s="6"/>
      <c r="D1058" s="6"/>
      <c r="E1058" s="126"/>
      <c r="F1058" s="6"/>
      <c r="G1058" s="12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5.4" x14ac:dyDescent="0.55000000000000004">
      <c r="A1059" s="6"/>
      <c r="B1059" s="6"/>
      <c r="C1059" s="6"/>
      <c r="D1059" s="6"/>
      <c r="E1059" s="126"/>
      <c r="F1059" s="6"/>
      <c r="G1059" s="12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5.4" x14ac:dyDescent="0.55000000000000004">
      <c r="A1060" s="6"/>
      <c r="B1060" s="6"/>
      <c r="C1060" s="6"/>
      <c r="D1060" s="6"/>
      <c r="E1060" s="126"/>
      <c r="F1060" s="6"/>
      <c r="G1060" s="12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5.4" x14ac:dyDescent="0.55000000000000004">
      <c r="A1061" s="6"/>
      <c r="B1061" s="6"/>
      <c r="C1061" s="6"/>
      <c r="D1061" s="6"/>
      <c r="E1061" s="126"/>
      <c r="F1061" s="6"/>
      <c r="G1061" s="12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5.4" x14ac:dyDescent="0.55000000000000004">
      <c r="A1062" s="6"/>
      <c r="B1062" s="6"/>
      <c r="C1062" s="6"/>
      <c r="D1062" s="6"/>
      <c r="E1062" s="126"/>
      <c r="F1062" s="6"/>
      <c r="G1062" s="12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5.4" x14ac:dyDescent="0.55000000000000004">
      <c r="A1063" s="6"/>
      <c r="B1063" s="6"/>
      <c r="C1063" s="6"/>
      <c r="D1063" s="6"/>
      <c r="E1063" s="126"/>
      <c r="F1063" s="6"/>
      <c r="G1063" s="12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5.4" x14ac:dyDescent="0.55000000000000004">
      <c r="A1064" s="6"/>
      <c r="B1064" s="6"/>
      <c r="C1064" s="6"/>
      <c r="D1064" s="6"/>
      <c r="E1064" s="126"/>
      <c r="F1064" s="6"/>
      <c r="G1064" s="12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5.4" x14ac:dyDescent="0.55000000000000004">
      <c r="A1065" s="6"/>
      <c r="B1065" s="6"/>
      <c r="C1065" s="6"/>
      <c r="D1065" s="6"/>
      <c r="E1065" s="126"/>
      <c r="F1065" s="6"/>
      <c r="G1065" s="12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5.4" x14ac:dyDescent="0.55000000000000004">
      <c r="A1066" s="6"/>
      <c r="B1066" s="6"/>
      <c r="C1066" s="6"/>
      <c r="D1066" s="6"/>
      <c r="E1066" s="126"/>
      <c r="F1066" s="6"/>
      <c r="G1066" s="12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5.4" x14ac:dyDescent="0.55000000000000004">
      <c r="A1067" s="6"/>
      <c r="B1067" s="6"/>
      <c r="C1067" s="6"/>
      <c r="D1067" s="6"/>
      <c r="E1067" s="126"/>
      <c r="F1067" s="6"/>
      <c r="G1067" s="12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5.4" x14ac:dyDescent="0.55000000000000004">
      <c r="A1068" s="6"/>
      <c r="B1068" s="6"/>
      <c r="C1068" s="6"/>
      <c r="D1068" s="6"/>
      <c r="E1068" s="126"/>
      <c r="F1068" s="6"/>
      <c r="G1068" s="12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5.4" x14ac:dyDescent="0.55000000000000004">
      <c r="A1069" s="6"/>
      <c r="B1069" s="6"/>
      <c r="C1069" s="6"/>
      <c r="D1069" s="6"/>
      <c r="E1069" s="126"/>
      <c r="F1069" s="6"/>
      <c r="G1069" s="12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5.4" x14ac:dyDescent="0.55000000000000004">
      <c r="A1070" s="6"/>
      <c r="B1070" s="6"/>
      <c r="C1070" s="6"/>
      <c r="D1070" s="6"/>
      <c r="E1070" s="126"/>
      <c r="F1070" s="6"/>
      <c r="G1070" s="12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5.4" x14ac:dyDescent="0.55000000000000004">
      <c r="A1071" s="6"/>
      <c r="B1071" s="6"/>
      <c r="C1071" s="6"/>
      <c r="D1071" s="6"/>
      <c r="E1071" s="126"/>
      <c r="F1071" s="6"/>
      <c r="G1071" s="12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5.4" x14ac:dyDescent="0.55000000000000004">
      <c r="A1072" s="6"/>
      <c r="B1072" s="6"/>
      <c r="C1072" s="6"/>
      <c r="D1072" s="6"/>
      <c r="E1072" s="126"/>
      <c r="F1072" s="6"/>
      <c r="G1072" s="12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5.4" x14ac:dyDescent="0.55000000000000004">
      <c r="A1073" s="6"/>
      <c r="B1073" s="6"/>
      <c r="C1073" s="6"/>
      <c r="D1073" s="6"/>
      <c r="E1073" s="126"/>
      <c r="F1073" s="6"/>
      <c r="G1073" s="12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</sheetData>
  <mergeCells count="11">
    <mergeCell ref="A94:A100"/>
    <mergeCell ref="A103:A111"/>
    <mergeCell ref="A114:A121"/>
    <mergeCell ref="A123:A127"/>
    <mergeCell ref="A129:A136"/>
    <mergeCell ref="A2:A13"/>
    <mergeCell ref="A18:A31"/>
    <mergeCell ref="A34:A49"/>
    <mergeCell ref="A51:A65"/>
    <mergeCell ref="A68:A76"/>
    <mergeCell ref="A79:A90"/>
  </mergeCells>
  <conditionalFormatting sqref="D142:D153 F142:F153 H142:H153">
    <cfRule type="cellIs" dxfId="7" priority="2" operator="lessThan">
      <formula>"75%"</formula>
    </cfRule>
    <cfRule type="cellIs" dxfId="6" priority="3" operator="between">
      <formula>"75.10%"</formula>
      <formula>"100%"</formula>
    </cfRule>
    <cfRule type="cellIs" dxfId="5" priority="4" operator="greaterThanOrEqual">
      <formula>"100%"</formula>
    </cfRule>
  </conditionalFormatting>
  <conditionalFormatting sqref="E1 E140">
    <cfRule type="cellIs" dxfId="4" priority="7" operator="greaterThan">
      <formula>"100%"</formula>
    </cfRule>
  </conditionalFormatting>
  <conditionalFormatting sqref="E1:E140 G1:G140 I2:I10 E142:E201 G142:G1073 E203:E1073">
    <cfRule type="cellIs" dxfId="3" priority="5" operator="lessThan">
      <formula>"75%"</formula>
    </cfRule>
    <cfRule type="cellIs" dxfId="2" priority="6" operator="between">
      <formula>"75.10%"</formula>
      <formula>"100%"</formula>
    </cfRule>
    <cfRule type="containsBlanks" dxfId="1" priority="8">
      <formula>LEN(TRIM(E1))=0</formula>
    </cfRule>
  </conditionalFormatting>
  <conditionalFormatting sqref="J142:J153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138">
    <cfRule type="notContainsBlanks" dxfId="0" priority="1">
      <formula>LEN(TRIM(K138))&gt;0</formula>
    </cfRule>
  </conditionalFormatting>
  <conditionalFormatting sqref="L142:L153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142:N153">
    <cfRule type="colorScale" priority="1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 Limberopulos Fernández</dc:creator>
  <cp:lastModifiedBy>Yani Limberopulos Fernández</cp:lastModifiedBy>
  <dcterms:created xsi:type="dcterms:W3CDTF">2026-08-13T20:32:01Z</dcterms:created>
  <dcterms:modified xsi:type="dcterms:W3CDTF">2026-08-13T20:32:50Z</dcterms:modified>
</cp:coreProperties>
</file>